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" ContentType="application/vnd.visi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angluongbenvung-my.sharepoint.com/personal/bang_nguyen_seiac_vn/Documents/NCBANG/TEST/MONG BAN KO SUON/"/>
    </mc:Choice>
  </mc:AlternateContent>
  <xr:revisionPtr revIDLastSave="164" documentId="8_{69327952-6336-4036-B2A9-8FA9CEFBD619}" xr6:coauthVersionLast="47" xr6:coauthVersionMax="47" xr10:uidLastSave="{865F0670-4322-484D-B55E-048541559830}"/>
  <bookViews>
    <workbookView xWindow="-110" yWindow="-110" windowWidth="19420" windowHeight="11500" firstSheet="3" activeTab="6" xr2:uid="{00000000-000D-0000-FFFF-FFFF00000000}"/>
  </bookViews>
  <sheets>
    <sheet name="Tra" sheetId="16" state="hidden" r:id="rId1"/>
    <sheet name="TRANG BIA" sheetId="93" state="hidden" r:id="rId2"/>
    <sheet name="TBA-1" sheetId="149" state="hidden" r:id="rId3"/>
    <sheet name="N411-20" sheetId="94" r:id="rId4"/>
    <sheet name="ChiTiet" sheetId="91" state="hidden" r:id="rId5"/>
    <sheet name="TONG HOP" sheetId="174" r:id="rId6"/>
    <sheet name="KL" sheetId="175" r:id="rId7"/>
    <sheet name="Bảng tra" sheetId="127" state="hidden" r:id="rId8"/>
  </sheets>
  <externalReferences>
    <externalReference r:id="rId9"/>
    <externalReference r:id="rId10"/>
  </externalReferences>
  <definedNames>
    <definedName name="CT" localSheetId="6">'[1]Bảng tra'!$A$18:$C$33</definedName>
    <definedName name="CT">'Bảng tra'!$A$18:$C$33</definedName>
    <definedName name="_xlnm.Print_Area" localSheetId="3">'N411-20'!$A$1:$L$240</definedName>
    <definedName name="_xlnm.Print_Area" localSheetId="2">'TBA-1'!$A$1:$L$156</definedName>
    <definedName name="_xlnm.Print_Area" localSheetId="5">'TONG HOP'!$A$1:$L$52</definedName>
    <definedName name="_xlnm.Print_Area" localSheetId="1">'TRANG BIA'!$A$1:$K$46</definedName>
    <definedName name="THEP">'[2]Bảng tra'!$A$2:$C$17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75" l="1"/>
  <c r="K32" i="174"/>
  <c r="K31" i="174"/>
  <c r="D38" i="174"/>
  <c r="C38" i="174"/>
  <c r="N83" i="175"/>
  <c r="B83" i="175"/>
  <c r="H81" i="175"/>
  <c r="F81" i="175"/>
  <c r="E81" i="175"/>
  <c r="H80" i="175"/>
  <c r="F80" i="175"/>
  <c r="E80" i="175"/>
  <c r="H79" i="175"/>
  <c r="F79" i="175"/>
  <c r="E79" i="175"/>
  <c r="AM64" i="175"/>
  <c r="AP63" i="175"/>
  <c r="AO63" i="175"/>
  <c r="AM63" i="175"/>
  <c r="AL63" i="175"/>
  <c r="AK63" i="175"/>
  <c r="AJ63" i="175"/>
  <c r="AJ64" i="175" s="1"/>
  <c r="AO62" i="175"/>
  <c r="AK62" i="175"/>
  <c r="AA62" i="175"/>
  <c r="S62" i="175"/>
  <c r="G62" i="175"/>
  <c r="AE58" i="175"/>
  <c r="AA58" i="175"/>
  <c r="AM57" i="175"/>
  <c r="AQ49" i="175"/>
  <c r="AE48" i="175"/>
  <c r="N34" i="175"/>
  <c r="N32" i="175"/>
  <c r="K32" i="175"/>
  <c r="N30" i="175"/>
  <c r="N28" i="175"/>
  <c r="M24" i="175"/>
  <c r="N20" i="175"/>
  <c r="E20" i="175"/>
  <c r="N26" i="175" s="1"/>
  <c r="C20" i="175"/>
  <c r="AM52" i="175" s="1"/>
  <c r="E18" i="175"/>
  <c r="E19" i="175" s="1"/>
  <c r="AE46" i="175" s="1"/>
  <c r="C18" i="175"/>
  <c r="N16" i="175" s="1"/>
  <c r="N18" i="175" s="1"/>
  <c r="N24" i="175" s="1"/>
  <c r="AE17" i="175"/>
  <c r="B17" i="175"/>
  <c r="D58" i="175" s="1"/>
  <c r="P58" i="175" s="1"/>
  <c r="B16" i="175"/>
  <c r="D57" i="175" s="1"/>
  <c r="P57" i="175" s="1"/>
  <c r="B15" i="175"/>
  <c r="AM55" i="175" s="1"/>
  <c r="B14" i="175"/>
  <c r="B13" i="175"/>
  <c r="B12" i="175"/>
  <c r="B11" i="175"/>
  <c r="V57" i="175" s="1"/>
  <c r="O62" i="175" s="1"/>
  <c r="M10" i="175"/>
  <c r="B10" i="175"/>
  <c r="AA6" i="175" s="1"/>
  <c r="L9" i="175"/>
  <c r="H3" i="175"/>
  <c r="S4" i="175" s="1"/>
  <c r="E3" i="175"/>
  <c r="D2" i="175"/>
  <c r="AB7" i="175" l="1"/>
  <c r="L26" i="175"/>
  <c r="O26" i="175" s="1"/>
  <c r="Q26" i="175" s="1"/>
  <c r="R26" i="175" s="1"/>
  <c r="P26" i="175"/>
  <c r="Q4" i="175"/>
  <c r="V4" i="175" s="1"/>
  <c r="L20" i="175"/>
  <c r="O20" i="175" s="1"/>
  <c r="AA10" i="175"/>
  <c r="AA8" i="175" s="1"/>
  <c r="N22" i="175"/>
  <c r="N59" i="175"/>
  <c r="Q59" i="175" s="1"/>
  <c r="M63" i="175" s="1"/>
  <c r="L34" i="175"/>
  <c r="O34" i="175" s="1"/>
  <c r="AM53" i="175"/>
  <c r="AM54" i="175" s="1"/>
  <c r="B59" i="175"/>
  <c r="R36" i="175"/>
  <c r="L16" i="175"/>
  <c r="O16" i="175" s="1"/>
  <c r="J57" i="175"/>
  <c r="C62" i="175" s="1"/>
  <c r="AD48" i="175"/>
  <c r="AD62" i="175" s="1"/>
  <c r="D15" i="175"/>
  <c r="R38" i="175"/>
  <c r="Q62" i="175"/>
  <c r="R62" i="175" s="1"/>
  <c r="T62" i="175" s="1"/>
  <c r="M36" i="175"/>
  <c r="O37" i="175"/>
  <c r="AC67" i="175"/>
  <c r="B62" i="175"/>
  <c r="N62" i="175"/>
  <c r="C19" i="175"/>
  <c r="AB6" i="175"/>
  <c r="AE25" i="175"/>
  <c r="AM58" i="175"/>
  <c r="T28" i="175"/>
  <c r="AA7" i="175"/>
  <c r="K18" i="175"/>
  <c r="AH28" i="175"/>
  <c r="AB62" i="175"/>
  <c r="N37" i="175"/>
  <c r="AL64" i="175"/>
  <c r="AK64" i="175"/>
  <c r="AJ65" i="175"/>
  <c r="AQ64" i="175"/>
  <c r="AP64" i="175"/>
  <c r="AO64" i="175"/>
  <c r="AN64" i="175"/>
  <c r="AN63" i="175"/>
  <c r="AQ63" i="175"/>
  <c r="B60" i="175" l="1"/>
  <c r="Q7" i="175"/>
  <c r="AA9" i="175"/>
  <c r="AL62" i="175"/>
  <c r="K30" i="175" s="1"/>
  <c r="N60" i="175"/>
  <c r="P82" i="175" s="1"/>
  <c r="AA11" i="175"/>
  <c r="Q10" i="175" s="1"/>
  <c r="AB10" i="175"/>
  <c r="AB9" i="175" s="1"/>
  <c r="C82" i="175"/>
  <c r="E60" i="175"/>
  <c r="AC53" i="175"/>
  <c r="AC54" i="175" s="1"/>
  <c r="AD67" i="175" s="1"/>
  <c r="P28" i="175"/>
  <c r="P30" i="175" s="1"/>
  <c r="T30" i="175"/>
  <c r="T32" i="175" s="1"/>
  <c r="P32" i="175" s="1"/>
  <c r="AL65" i="175"/>
  <c r="AK65" i="175"/>
  <c r="AJ66" i="175"/>
  <c r="AQ65" i="175"/>
  <c r="AP65" i="175"/>
  <c r="AO65" i="175"/>
  <c r="AN65" i="175"/>
  <c r="AM65" i="175"/>
  <c r="Q60" i="175"/>
  <c r="AB67" i="175"/>
  <c r="AC46" i="175"/>
  <c r="AG29" i="175"/>
  <c r="AG18" i="175"/>
  <c r="V62" i="175"/>
  <c r="N63" i="175"/>
  <c r="M64" i="175"/>
  <c r="S63" i="175"/>
  <c r="P63" i="175"/>
  <c r="O63" i="175"/>
  <c r="AM59" i="175"/>
  <c r="AO59" i="175" s="1"/>
  <c r="AE4" i="175"/>
  <c r="E62" i="175"/>
  <c r="AC62" i="175" s="1"/>
  <c r="AE62" i="175" s="1"/>
  <c r="O38" i="175"/>
  <c r="L38" i="175"/>
  <c r="E59" i="175"/>
  <c r="A63" i="175" s="1"/>
  <c r="AC47" i="175"/>
  <c r="AC49" i="175" s="1"/>
  <c r="L28" i="175"/>
  <c r="AM56" i="175"/>
  <c r="AM62" i="175"/>
  <c r="AC4" i="175"/>
  <c r="M18" i="175"/>
  <c r="K22" i="175"/>
  <c r="M22" i="175" s="1"/>
  <c r="N82" i="175"/>
  <c r="B82" i="175"/>
  <c r="N38" i="175"/>
  <c r="Z4" i="175" s="1"/>
  <c r="P34" i="175"/>
  <c r="Q34" i="175" s="1"/>
  <c r="R34" i="175" s="1"/>
  <c r="L37" i="175"/>
  <c r="O82" i="175" l="1"/>
  <c r="AB8" i="175"/>
  <c r="AB11" i="175" s="1"/>
  <c r="Q5" i="175"/>
  <c r="AF62" i="175"/>
  <c r="L31" i="175"/>
  <c r="O30" i="175" s="1"/>
  <c r="Q30" i="175" s="1"/>
  <c r="R30" i="175" s="1"/>
  <c r="AN62" i="175"/>
  <c r="AP62" i="175" s="1"/>
  <c r="AQ62" i="175" s="1"/>
  <c r="AA63" i="175"/>
  <c r="AC50" i="175"/>
  <c r="AE49" i="175"/>
  <c r="AD49" i="175"/>
  <c r="N64" i="175"/>
  <c r="M65" i="175"/>
  <c r="S64" i="175"/>
  <c r="P64" i="175"/>
  <c r="O64" i="175"/>
  <c r="Q82" i="175"/>
  <c r="R82" i="175" s="1"/>
  <c r="C63" i="175"/>
  <c r="B63" i="175"/>
  <c r="A64" i="175"/>
  <c r="G63" i="175"/>
  <c r="D63" i="175"/>
  <c r="AM60" i="175"/>
  <c r="AO60" i="175" s="1"/>
  <c r="S82" i="175"/>
  <c r="T60" i="175"/>
  <c r="D82" i="175"/>
  <c r="L32" i="175"/>
  <c r="O32" i="175" s="1"/>
  <c r="Q32" i="175" s="1"/>
  <c r="R32" i="175" s="1"/>
  <c r="O28" i="175"/>
  <c r="Q28" i="175" s="1"/>
  <c r="R28" i="175" s="1"/>
  <c r="Q63" i="175"/>
  <c r="R63" i="175" s="1"/>
  <c r="T63" i="175" s="1"/>
  <c r="AE67" i="175"/>
  <c r="AF67" i="175" s="1"/>
  <c r="F62" i="175"/>
  <c r="H62" i="175" s="1"/>
  <c r="AF20" i="175"/>
  <c r="AG17" i="175" s="1"/>
  <c r="G82" i="175"/>
  <c r="H60" i="175"/>
  <c r="P16" i="175" s="1"/>
  <c r="E82" i="175"/>
  <c r="AL66" i="175"/>
  <c r="AK66" i="175"/>
  <c r="AJ67" i="175"/>
  <c r="AQ66" i="175"/>
  <c r="AP66" i="175"/>
  <c r="AO66" i="175"/>
  <c r="AN66" i="175"/>
  <c r="AM66" i="175"/>
  <c r="AG19" i="175" l="1"/>
  <c r="F82" i="175"/>
  <c r="U4" i="175"/>
  <c r="Q11" i="175"/>
  <c r="AD4" i="175" s="1"/>
  <c r="H82" i="175"/>
  <c r="J82" i="175" s="1"/>
  <c r="V63" i="175"/>
  <c r="AA64" i="175"/>
  <c r="AC51" i="175"/>
  <c r="AE50" i="175"/>
  <c r="AD50" i="175"/>
  <c r="P18" i="175"/>
  <c r="Q16" i="175"/>
  <c r="E63" i="175"/>
  <c r="F63" i="175" s="1"/>
  <c r="H63" i="175" s="1"/>
  <c r="J63" i="175" s="1"/>
  <c r="AF63" i="175"/>
  <c r="AE63" i="175"/>
  <c r="AD63" i="175"/>
  <c r="AC63" i="175"/>
  <c r="AB63" i="175"/>
  <c r="T82" i="175"/>
  <c r="V82" i="175" s="1"/>
  <c r="N65" i="175"/>
  <c r="M66" i="175"/>
  <c r="S65" i="175"/>
  <c r="P65" i="175"/>
  <c r="O65" i="175"/>
  <c r="AM67" i="175"/>
  <c r="AL67" i="175"/>
  <c r="AK67" i="175"/>
  <c r="AQ67" i="175"/>
  <c r="AP67" i="175"/>
  <c r="AJ68" i="175"/>
  <c r="AO67" i="175"/>
  <c r="AN67" i="175"/>
  <c r="J62" i="175"/>
  <c r="C64" i="175"/>
  <c r="B64" i="175"/>
  <c r="A65" i="175"/>
  <c r="G64" i="175"/>
  <c r="D64" i="175"/>
  <c r="Q64" i="175"/>
  <c r="R64" i="175" s="1"/>
  <c r="T64" i="175" s="1"/>
  <c r="V64" i="175" l="1"/>
  <c r="AF64" i="175"/>
  <c r="AE64" i="175"/>
  <c r="AD64" i="175"/>
  <c r="AC64" i="175"/>
  <c r="AB64" i="175"/>
  <c r="C65" i="175"/>
  <c r="B65" i="175"/>
  <c r="A66" i="175"/>
  <c r="J65" i="175"/>
  <c r="G65" i="175"/>
  <c r="D65" i="175"/>
  <c r="E64" i="175"/>
  <c r="F64" i="175" s="1"/>
  <c r="H64" i="175" s="1"/>
  <c r="Q65" i="175"/>
  <c r="R65" i="175" s="1"/>
  <c r="T65" i="175" s="1"/>
  <c r="R16" i="175"/>
  <c r="AP68" i="175"/>
  <c r="AO68" i="175"/>
  <c r="AJ69" i="175"/>
  <c r="AN68" i="175"/>
  <c r="AM68" i="175"/>
  <c r="AL68" i="175"/>
  <c r="AK68" i="175"/>
  <c r="AQ68" i="175"/>
  <c r="N66" i="175"/>
  <c r="M67" i="175"/>
  <c r="S66" i="175"/>
  <c r="P66" i="175"/>
  <c r="O66" i="175"/>
  <c r="AA65" i="175"/>
  <c r="AD51" i="175"/>
  <c r="AE51" i="175"/>
  <c r="AC52" i="175"/>
  <c r="V65" i="175" l="1"/>
  <c r="J64" i="175"/>
  <c r="N67" i="175"/>
  <c r="V67" i="175"/>
  <c r="M68" i="175"/>
  <c r="S67" i="175"/>
  <c r="P67" i="175"/>
  <c r="O67" i="175"/>
  <c r="AF65" i="175"/>
  <c r="AE65" i="175"/>
  <c r="AD65" i="175"/>
  <c r="AC65" i="175"/>
  <c r="AB65" i="175"/>
  <c r="AA66" i="175"/>
  <c r="AE52" i="175"/>
  <c r="AD52" i="175"/>
  <c r="Q66" i="175"/>
  <c r="R66" i="175" s="1"/>
  <c r="T66" i="175" s="1"/>
  <c r="V66" i="175" s="1"/>
  <c r="AJ70" i="175"/>
  <c r="AL69" i="175"/>
  <c r="AK69" i="175"/>
  <c r="AQ69" i="175"/>
  <c r="AP69" i="175"/>
  <c r="AO69" i="175"/>
  <c r="AN69" i="175"/>
  <c r="AM69" i="175"/>
  <c r="C66" i="175"/>
  <c r="B66" i="175"/>
  <c r="A67" i="175"/>
  <c r="J66" i="175"/>
  <c r="G66" i="175"/>
  <c r="D66" i="175"/>
  <c r="H65" i="175"/>
  <c r="F65" i="175"/>
  <c r="E65" i="175"/>
  <c r="AF66" i="175" l="1"/>
  <c r="AF68" i="175" s="1"/>
  <c r="AE66" i="175"/>
  <c r="AE68" i="175" s="1"/>
  <c r="AD66" i="175"/>
  <c r="AD68" i="175" s="1"/>
  <c r="P24" i="175" s="1"/>
  <c r="AC66" i="175"/>
  <c r="AB66" i="175"/>
  <c r="T67" i="175"/>
  <c r="R67" i="175"/>
  <c r="Q67" i="175"/>
  <c r="C67" i="175"/>
  <c r="B67" i="175"/>
  <c r="J67" i="175"/>
  <c r="A68" i="175"/>
  <c r="G67" i="175"/>
  <c r="D67" i="175"/>
  <c r="O68" i="175"/>
  <c r="N68" i="175"/>
  <c r="V68" i="175"/>
  <c r="S68" i="175"/>
  <c r="M69" i="175"/>
  <c r="P68" i="175"/>
  <c r="H66" i="175"/>
  <c r="F66" i="175"/>
  <c r="E66" i="175"/>
  <c r="AQ70" i="175"/>
  <c r="AP70" i="175"/>
  <c r="AO70" i="175"/>
  <c r="AN70" i="175"/>
  <c r="AM70" i="175"/>
  <c r="AJ71" i="175"/>
  <c r="AL70" i="175"/>
  <c r="AK70" i="175"/>
  <c r="AC55" i="175" l="1"/>
  <c r="AC69" i="175"/>
  <c r="AE69" i="175" s="1"/>
  <c r="O24" i="175"/>
  <c r="Q24" i="175" s="1"/>
  <c r="R24" i="175" s="1"/>
  <c r="T68" i="175"/>
  <c r="R68" i="175"/>
  <c r="Q68" i="175"/>
  <c r="D68" i="175"/>
  <c r="C68" i="175"/>
  <c r="B68" i="175"/>
  <c r="J68" i="175"/>
  <c r="G68" i="175"/>
  <c r="A69" i="175"/>
  <c r="H67" i="175"/>
  <c r="F67" i="175"/>
  <c r="E67" i="175"/>
  <c r="M70" i="175"/>
  <c r="P69" i="175"/>
  <c r="O69" i="175"/>
  <c r="N69" i="175"/>
  <c r="V69" i="175"/>
  <c r="S69" i="175"/>
  <c r="AP71" i="175"/>
  <c r="AO71" i="175"/>
  <c r="AN71" i="175"/>
  <c r="AM71" i="175"/>
  <c r="AJ72" i="175"/>
  <c r="AL71" i="175"/>
  <c r="AK71" i="175"/>
  <c r="AQ71" i="175"/>
  <c r="L23" i="175" l="1"/>
  <c r="G69" i="175"/>
  <c r="A70" i="175"/>
  <c r="D69" i="175"/>
  <c r="C69" i="175"/>
  <c r="B69" i="175"/>
  <c r="J69" i="175"/>
  <c r="AN72" i="175"/>
  <c r="AM72" i="175"/>
  <c r="AL72" i="175"/>
  <c r="AK72" i="175"/>
  <c r="AQ72" i="175"/>
  <c r="AP72" i="175"/>
  <c r="AO72" i="175"/>
  <c r="R69" i="175"/>
  <c r="Q69" i="175"/>
  <c r="T69" i="175"/>
  <c r="N70" i="175"/>
  <c r="V70" i="175"/>
  <c r="S70" i="175"/>
  <c r="P70" i="175"/>
  <c r="M71" i="175"/>
  <c r="O70" i="175"/>
  <c r="H68" i="175"/>
  <c r="F68" i="175"/>
  <c r="E68" i="175"/>
  <c r="S71" i="175" l="1"/>
  <c r="P71" i="175"/>
  <c r="M72" i="175"/>
  <c r="O71" i="175"/>
  <c r="N71" i="175"/>
  <c r="V71" i="175"/>
  <c r="F69" i="175"/>
  <c r="E69" i="175"/>
  <c r="H69" i="175"/>
  <c r="T70" i="175"/>
  <c r="R70" i="175"/>
  <c r="Q70" i="175"/>
  <c r="A71" i="175"/>
  <c r="C70" i="175"/>
  <c r="B70" i="175"/>
  <c r="J70" i="175"/>
  <c r="G70" i="175"/>
  <c r="D70" i="175"/>
  <c r="J71" i="175" l="1"/>
  <c r="G71" i="175"/>
  <c r="D71" i="175"/>
  <c r="A72" i="175"/>
  <c r="C71" i="175"/>
  <c r="B71" i="175"/>
  <c r="T71" i="175"/>
  <c r="R71" i="175"/>
  <c r="Q71" i="175"/>
  <c r="H70" i="175"/>
  <c r="F70" i="175"/>
  <c r="E70" i="175"/>
  <c r="P72" i="175"/>
  <c r="M73" i="175"/>
  <c r="O72" i="175"/>
  <c r="N72" i="175"/>
  <c r="V72" i="175"/>
  <c r="S72" i="175"/>
  <c r="R72" i="175" l="1"/>
  <c r="Q72" i="175"/>
  <c r="T72" i="175"/>
  <c r="G72" i="175"/>
  <c r="D72" i="175"/>
  <c r="A73" i="175"/>
  <c r="C72" i="175"/>
  <c r="B72" i="175"/>
  <c r="J72" i="175"/>
  <c r="P73" i="175"/>
  <c r="M74" i="175"/>
  <c r="O73" i="175"/>
  <c r="N73" i="175"/>
  <c r="V73" i="175"/>
  <c r="S73" i="175"/>
  <c r="H71" i="175"/>
  <c r="F71" i="175"/>
  <c r="E71" i="175"/>
  <c r="F72" i="175" l="1"/>
  <c r="E72" i="175"/>
  <c r="H72" i="175"/>
  <c r="D73" i="175"/>
  <c r="A74" i="175"/>
  <c r="C73" i="175"/>
  <c r="B73" i="175"/>
  <c r="J73" i="175"/>
  <c r="G73" i="175"/>
  <c r="T73" i="175"/>
  <c r="R73" i="175"/>
  <c r="Q73" i="175"/>
  <c r="N74" i="175"/>
  <c r="V74" i="175"/>
  <c r="S74" i="175"/>
  <c r="P74" i="175"/>
  <c r="M75" i="175"/>
  <c r="O74" i="175"/>
  <c r="A75" i="175" l="1"/>
  <c r="C74" i="175"/>
  <c r="B74" i="175"/>
  <c r="J74" i="175"/>
  <c r="G74" i="175"/>
  <c r="D74" i="175"/>
  <c r="E73" i="175"/>
  <c r="H73" i="175"/>
  <c r="F73" i="175"/>
  <c r="T74" i="175"/>
  <c r="R74" i="175"/>
  <c r="Q74" i="175"/>
  <c r="S75" i="175"/>
  <c r="P75" i="175"/>
  <c r="M76" i="175"/>
  <c r="O75" i="175"/>
  <c r="N75" i="175"/>
  <c r="V75" i="175"/>
  <c r="P76" i="175" l="1"/>
  <c r="M77" i="175"/>
  <c r="O76" i="175"/>
  <c r="N76" i="175"/>
  <c r="V76" i="175"/>
  <c r="S76" i="175"/>
  <c r="T75" i="175"/>
  <c r="R75" i="175"/>
  <c r="Q75" i="175"/>
  <c r="H74" i="175"/>
  <c r="F74" i="175"/>
  <c r="E74" i="175"/>
  <c r="J75" i="175"/>
  <c r="G75" i="175"/>
  <c r="D75" i="175"/>
  <c r="A76" i="175"/>
  <c r="C75" i="175"/>
  <c r="B75" i="175"/>
  <c r="R76" i="175" l="1"/>
  <c r="Q76" i="175"/>
  <c r="T76" i="175"/>
  <c r="G76" i="175"/>
  <c r="D76" i="175"/>
  <c r="A77" i="175"/>
  <c r="C76" i="175"/>
  <c r="B76" i="175"/>
  <c r="J76" i="175"/>
  <c r="P77" i="175"/>
  <c r="M78" i="175"/>
  <c r="O77" i="175"/>
  <c r="N77" i="175"/>
  <c r="V77" i="175"/>
  <c r="S77" i="175"/>
  <c r="H75" i="175"/>
  <c r="F75" i="175"/>
  <c r="E75" i="175"/>
  <c r="D77" i="175" l="1"/>
  <c r="A78" i="175"/>
  <c r="C77" i="175"/>
  <c r="B77" i="175"/>
  <c r="J77" i="175"/>
  <c r="G77" i="175"/>
  <c r="F76" i="175"/>
  <c r="E76" i="175"/>
  <c r="H76" i="175"/>
  <c r="T77" i="175"/>
  <c r="R77" i="175"/>
  <c r="Q77" i="175"/>
  <c r="M79" i="175"/>
  <c r="N78" i="175"/>
  <c r="V78" i="175"/>
  <c r="S78" i="175"/>
  <c r="P78" i="175"/>
  <c r="O78" i="175"/>
  <c r="V79" i="175" l="1"/>
  <c r="S79" i="175"/>
  <c r="P79" i="175"/>
  <c r="O79" i="175"/>
  <c r="M80" i="175"/>
  <c r="N79" i="175"/>
  <c r="E77" i="175"/>
  <c r="H77" i="175"/>
  <c r="F77" i="175"/>
  <c r="T78" i="175"/>
  <c r="R78" i="175"/>
  <c r="Q78" i="175"/>
  <c r="A79" i="175"/>
  <c r="C78" i="175"/>
  <c r="B78" i="175"/>
  <c r="J78" i="175"/>
  <c r="G78" i="175"/>
  <c r="D78" i="175"/>
  <c r="T79" i="175" l="1"/>
  <c r="R79" i="175"/>
  <c r="Q79" i="175"/>
  <c r="H78" i="175"/>
  <c r="H84" i="175" s="1"/>
  <c r="F78" i="175"/>
  <c r="E78" i="175"/>
  <c r="J79" i="175"/>
  <c r="G79" i="175"/>
  <c r="D79" i="175"/>
  <c r="A80" i="175"/>
  <c r="B79" i="175"/>
  <c r="S80" i="175"/>
  <c r="P80" i="175"/>
  <c r="O80" i="175"/>
  <c r="M81" i="175"/>
  <c r="N80" i="175"/>
  <c r="V80" i="175"/>
  <c r="S81" i="175" l="1"/>
  <c r="S84" i="175" s="1"/>
  <c r="P81" i="175"/>
  <c r="O81" i="175"/>
  <c r="N81" i="175"/>
  <c r="V81" i="175"/>
  <c r="V84" i="175" s="1"/>
  <c r="T80" i="175"/>
  <c r="R80" i="175"/>
  <c r="Q80" i="175"/>
  <c r="J80" i="175"/>
  <c r="G80" i="175"/>
  <c r="D80" i="175"/>
  <c r="A81" i="175"/>
  <c r="B80" i="175"/>
  <c r="O84" i="175" l="1"/>
  <c r="G81" i="175"/>
  <c r="G84" i="175" s="1"/>
  <c r="D81" i="175"/>
  <c r="C84" i="175" s="1"/>
  <c r="B81" i="175"/>
  <c r="J81" i="175"/>
  <c r="J84" i="175" s="1"/>
  <c r="R81" i="175"/>
  <c r="Q81" i="175"/>
  <c r="Q85" i="175" s="1"/>
  <c r="T81" i="175"/>
  <c r="T84" i="175" s="1"/>
  <c r="P20" i="175"/>
  <c r="O85" i="175"/>
  <c r="P85" i="175"/>
  <c r="K21" i="175" s="1"/>
  <c r="Q20" i="175" l="1"/>
  <c r="P22" i="175"/>
  <c r="R85" i="175"/>
  <c r="T85" i="175" s="1"/>
  <c r="V85" i="175" s="1"/>
  <c r="L21" i="175"/>
  <c r="O22" i="175" s="1"/>
  <c r="C85" i="175"/>
  <c r="D85" i="175"/>
  <c r="K17" i="175" s="1"/>
  <c r="E85" i="175"/>
  <c r="F85" i="175" l="1"/>
  <c r="H85" i="175" s="1"/>
  <c r="J85" i="175" s="1"/>
  <c r="L17" i="175"/>
  <c r="O18" i="175" s="1"/>
  <c r="Q18" i="175" s="1"/>
  <c r="Q22" i="175"/>
  <c r="R22" i="175" s="1"/>
  <c r="K37" i="175"/>
  <c r="R20" i="175"/>
  <c r="K38" i="175" s="1"/>
  <c r="W4" i="175" l="1"/>
  <c r="R18" i="175"/>
  <c r="M38" i="175" s="1"/>
  <c r="X4" i="175" s="1"/>
  <c r="M37" i="175"/>
  <c r="Q8" i="175" l="1"/>
  <c r="AA4" i="175" s="1"/>
  <c r="D37" i="174" l="1"/>
  <c r="C37" i="174"/>
  <c r="D35" i="174"/>
  <c r="C35" i="174"/>
  <c r="D33" i="174"/>
  <c r="C33" i="174"/>
  <c r="D32" i="174"/>
  <c r="C32" i="174"/>
  <c r="D31" i="174"/>
  <c r="C31" i="174"/>
  <c r="D3" i="174"/>
  <c r="K27" i="174"/>
  <c r="K28" i="174"/>
  <c r="M8" i="94" l="1"/>
  <c r="K2" i="174"/>
  <c r="K23" i="174"/>
  <c r="K21" i="174"/>
  <c r="K20" i="174"/>
  <c r="K16" i="174"/>
  <c r="K18" i="174" s="1"/>
  <c r="K14" i="174"/>
  <c r="K11" i="174"/>
  <c r="K10" i="174"/>
  <c r="K7" i="174"/>
  <c r="G26" i="174" l="1"/>
  <c r="G17" i="174" s="1"/>
  <c r="E28" i="174"/>
  <c r="K8" i="174"/>
  <c r="F28" i="174" l="1"/>
  <c r="C28" i="174" s="1"/>
  <c r="G22" i="174"/>
  <c r="O7" i="94" l="1"/>
  <c r="I3" i="149"/>
  <c r="K21" i="149"/>
  <c r="N23" i="94"/>
  <c r="N21" i="94"/>
  <c r="N22" i="94"/>
  <c r="B55" i="94"/>
  <c r="F54" i="94"/>
  <c r="K36" i="94"/>
  <c r="K34" i="94"/>
  <c r="K32" i="94"/>
  <c r="D186" i="94" l="1"/>
  <c r="E51" i="149"/>
  <c r="D185" i="93"/>
  <c r="D185" i="149"/>
  <c r="D185" i="94"/>
  <c r="T527" i="149"/>
  <c r="V527" i="149" s="1"/>
  <c r="S527" i="149"/>
  <c r="U527" i="149" s="1"/>
  <c r="S525" i="149"/>
  <c r="R525" i="149"/>
  <c r="Q522" i="149"/>
  <c r="R522" i="149" s="1"/>
  <c r="T519" i="149"/>
  <c r="Q519" i="149"/>
  <c r="S519" i="149" s="1"/>
  <c r="P519" i="149"/>
  <c r="V519" i="149" s="1"/>
  <c r="Q518" i="149"/>
  <c r="S518" i="149" s="1"/>
  <c r="P518" i="149"/>
  <c r="R518" i="149" s="1"/>
  <c r="W504" i="149"/>
  <c r="X502" i="149"/>
  <c r="W502" i="149"/>
  <c r="O501" i="149"/>
  <c r="O500" i="149"/>
  <c r="O499" i="149"/>
  <c r="O498" i="149"/>
  <c r="W497" i="149"/>
  <c r="O497" i="149"/>
  <c r="W496" i="149"/>
  <c r="O496" i="149"/>
  <c r="W495" i="149"/>
  <c r="O495" i="149"/>
  <c r="W494" i="149"/>
  <c r="O494" i="149"/>
  <c r="O493" i="149"/>
  <c r="W490" i="149"/>
  <c r="W489" i="149"/>
  <c r="W488" i="149"/>
  <c r="W487" i="149"/>
  <c r="P474" i="149"/>
  <c r="X482" i="149" s="1"/>
  <c r="R473" i="149"/>
  <c r="R474" i="149" s="1"/>
  <c r="X483" i="149" s="1"/>
  <c r="AA467" i="149"/>
  <c r="AC467" i="149" s="1"/>
  <c r="AA466" i="149"/>
  <c r="AA465" i="149"/>
  <c r="AB465" i="149" s="1"/>
  <c r="AA464" i="149"/>
  <c r="AC464" i="149" s="1"/>
  <c r="AA463" i="149"/>
  <c r="AA462" i="149"/>
  <c r="AC462" i="149" s="1"/>
  <c r="AA461" i="149"/>
  <c r="AC461" i="149" s="1"/>
  <c r="AA460" i="149"/>
  <c r="AC460" i="149" s="1"/>
  <c r="AA459" i="149"/>
  <c r="AA458" i="149"/>
  <c r="AB458" i="149" s="1"/>
  <c r="AA457" i="149"/>
  <c r="AC457" i="149" s="1"/>
  <c r="T457" i="149"/>
  <c r="T463" i="149" s="1"/>
  <c r="S457" i="149"/>
  <c r="S463" i="149" s="1"/>
  <c r="D402" i="149"/>
  <c r="C406" i="149" s="1"/>
  <c r="C383" i="149"/>
  <c r="C382" i="149"/>
  <c r="D344" i="149"/>
  <c r="C323" i="149"/>
  <c r="C408" i="149" s="1"/>
  <c r="C322" i="149"/>
  <c r="C326" i="149" s="1"/>
  <c r="J320" i="149"/>
  <c r="B318" i="149"/>
  <c r="E311" i="149"/>
  <c r="E314" i="149" s="1"/>
  <c r="D302" i="149"/>
  <c r="D295" i="149"/>
  <c r="J288" i="149"/>
  <c r="D232" i="149"/>
  <c r="C236" i="149" s="1"/>
  <c r="E190" i="149"/>
  <c r="K189" i="149"/>
  <c r="E189" i="149"/>
  <c r="C188" i="149"/>
  <c r="J127" i="149"/>
  <c r="D105" i="149"/>
  <c r="B105" i="149"/>
  <c r="B106" i="149" s="1"/>
  <c r="B107" i="149" s="1"/>
  <c r="B108" i="149" s="1"/>
  <c r="B109" i="149" s="1"/>
  <c r="B110" i="149" s="1"/>
  <c r="B111" i="149" s="1"/>
  <c r="B112" i="149" s="1"/>
  <c r="B113" i="149" s="1"/>
  <c r="B114" i="149" s="1"/>
  <c r="B115" i="149" s="1"/>
  <c r="B116" i="149" s="1"/>
  <c r="B117" i="149" s="1"/>
  <c r="B118" i="149" s="1"/>
  <c r="B119" i="149" s="1"/>
  <c r="B120" i="149" s="1"/>
  <c r="B121" i="149" s="1"/>
  <c r="B122" i="149" s="1"/>
  <c r="B123" i="149" s="1"/>
  <c r="B124" i="149" s="1"/>
  <c r="B125" i="149" s="1"/>
  <c r="F104" i="149"/>
  <c r="E104" i="149"/>
  <c r="V74" i="149"/>
  <c r="I62" i="149"/>
  <c r="J57" i="149"/>
  <c r="I57" i="149"/>
  <c r="H57" i="149"/>
  <c r="G57" i="149"/>
  <c r="F57" i="149"/>
  <c r="E57" i="149"/>
  <c r="D57" i="149"/>
  <c r="B57" i="149"/>
  <c r="A57" i="149"/>
  <c r="J56" i="149"/>
  <c r="I56" i="149"/>
  <c r="H56" i="149"/>
  <c r="N144" i="149" s="1"/>
  <c r="G56" i="149"/>
  <c r="F56" i="149"/>
  <c r="E56" i="149"/>
  <c r="D56" i="149"/>
  <c r="B56" i="149"/>
  <c r="A56" i="149"/>
  <c r="K55" i="149"/>
  <c r="J54" i="149"/>
  <c r="H55" i="94" s="1"/>
  <c r="I54" i="149"/>
  <c r="H54" i="149"/>
  <c r="G54" i="149"/>
  <c r="F54" i="149"/>
  <c r="E54" i="149"/>
  <c r="D54" i="149"/>
  <c r="B54" i="149"/>
  <c r="A54" i="149"/>
  <c r="F50" i="149"/>
  <c r="C50" i="149"/>
  <c r="F49" i="149"/>
  <c r="Y146" i="149" s="1"/>
  <c r="C49" i="149"/>
  <c r="X146" i="149" s="1"/>
  <c r="C48" i="149"/>
  <c r="K44" i="149"/>
  <c r="Q41" i="149"/>
  <c r="S41" i="149" s="1"/>
  <c r="Q40" i="149"/>
  <c r="S40" i="149" s="1"/>
  <c r="K16" i="149"/>
  <c r="Q39" i="149"/>
  <c r="K14" i="149"/>
  <c r="Q29" i="149"/>
  <c r="Q28" i="149"/>
  <c r="Q27" i="149"/>
  <c r="R27" i="149" s="1"/>
  <c r="Q26" i="149"/>
  <c r="Q25" i="149"/>
  <c r="S25" i="149" s="1"/>
  <c r="Q24" i="149"/>
  <c r="S24" i="149" s="1"/>
  <c r="Q23" i="149"/>
  <c r="S23" i="149" s="1"/>
  <c r="K23" i="149"/>
  <c r="Q22" i="149"/>
  <c r="S22" i="149" s="1"/>
  <c r="Q21" i="149"/>
  <c r="R21" i="149" s="1"/>
  <c r="K20" i="149"/>
  <c r="O466" i="149"/>
  <c r="Z500" i="149" s="1"/>
  <c r="K11" i="149"/>
  <c r="K10" i="149"/>
  <c r="W3" i="149"/>
  <c r="A3" i="149"/>
  <c r="C2" i="149"/>
  <c r="A2" i="149"/>
  <c r="C1" i="149"/>
  <c r="A1" i="149"/>
  <c r="C60" i="149" l="1"/>
  <c r="E61" i="149" s="1"/>
  <c r="K56" i="149"/>
  <c r="K34" i="149"/>
  <c r="K36" i="149"/>
  <c r="K32" i="149"/>
  <c r="AA482" i="149"/>
  <c r="F75" i="149"/>
  <c r="AC458" i="149"/>
  <c r="Y502" i="149"/>
  <c r="AC465" i="149"/>
  <c r="U460" i="149"/>
  <c r="E406" i="149"/>
  <c r="K57" i="149"/>
  <c r="R24" i="149"/>
  <c r="S21" i="149"/>
  <c r="R25" i="149"/>
  <c r="D233" i="149"/>
  <c r="AB457" i="149"/>
  <c r="AB461" i="149"/>
  <c r="S522" i="149"/>
  <c r="V522" i="149" s="1"/>
  <c r="D106" i="149"/>
  <c r="C106" i="149" s="1"/>
  <c r="F106" i="149" s="1"/>
  <c r="C105" i="149"/>
  <c r="F105" i="149" s="1"/>
  <c r="K54" i="149"/>
  <c r="R40" i="149"/>
  <c r="H143" i="149"/>
  <c r="D252" i="149"/>
  <c r="D253" i="149" s="1"/>
  <c r="AB467" i="149"/>
  <c r="R23" i="149"/>
  <c r="S27" i="149"/>
  <c r="H145" i="149"/>
  <c r="U146" i="149" s="1"/>
  <c r="G146" i="149" s="1"/>
  <c r="J146" i="149" s="1"/>
  <c r="I322" i="149"/>
  <c r="I382" i="149" s="1"/>
  <c r="D403" i="149"/>
  <c r="W527" i="149"/>
  <c r="W528" i="149" s="1"/>
  <c r="K12" i="149"/>
  <c r="K46" i="149"/>
  <c r="K47" i="149" s="1"/>
  <c r="E288" i="149"/>
  <c r="C74" i="149"/>
  <c r="N481" i="149"/>
  <c r="S466" i="149"/>
  <c r="O463" i="149"/>
  <c r="E289" i="149"/>
  <c r="J289" i="149" s="1"/>
  <c r="S28" i="149"/>
  <c r="R28" i="149"/>
  <c r="S472" i="149"/>
  <c r="C264" i="149"/>
  <c r="V518" i="149"/>
  <c r="N525" i="149" s="1"/>
  <c r="S29" i="149"/>
  <c r="D237" i="149" s="1"/>
  <c r="R29" i="149"/>
  <c r="F224" i="149"/>
  <c r="F226" i="149" s="1"/>
  <c r="E238" i="149" s="1"/>
  <c r="O462" i="149"/>
  <c r="F76" i="149"/>
  <c r="R41" i="149"/>
  <c r="D107" i="149"/>
  <c r="AC466" i="149"/>
  <c r="AB466" i="149"/>
  <c r="AC459" i="149"/>
  <c r="AB459" i="149"/>
  <c r="S39" i="149"/>
  <c r="R39" i="149"/>
  <c r="D359" i="149"/>
  <c r="C305" i="149"/>
  <c r="D303" i="149"/>
  <c r="O460" i="149"/>
  <c r="F74" i="149"/>
  <c r="C104" i="149"/>
  <c r="U144" i="149"/>
  <c r="G144" i="149" s="1"/>
  <c r="J144" i="149" s="1"/>
  <c r="S464" i="149"/>
  <c r="V473" i="149" s="1"/>
  <c r="S473" i="149"/>
  <c r="R22" i="149"/>
  <c r="S26" i="149"/>
  <c r="R26" i="149"/>
  <c r="Z146" i="149"/>
  <c r="T464" i="149"/>
  <c r="W473" i="149" s="1"/>
  <c r="X473" i="149" s="1"/>
  <c r="T473" i="149"/>
  <c r="U473" i="149" s="1"/>
  <c r="O465" i="149"/>
  <c r="F322" i="149"/>
  <c r="E355" i="149" s="1"/>
  <c r="J380" i="149"/>
  <c r="K18" i="149"/>
  <c r="AC463" i="149"/>
  <c r="AB463" i="149"/>
  <c r="D260" i="149"/>
  <c r="D261" i="149" s="1"/>
  <c r="N472" i="149"/>
  <c r="V480" i="149" s="1"/>
  <c r="R519" i="149"/>
  <c r="P188" i="149"/>
  <c r="Q460" i="149"/>
  <c r="AB462" i="149"/>
  <c r="AB464" i="149"/>
  <c r="N473" i="149"/>
  <c r="N474" i="149" s="1"/>
  <c r="X480" i="149" s="1"/>
  <c r="AB460" i="149"/>
  <c r="G61" i="149" l="1"/>
  <c r="C61" i="149"/>
  <c r="H105" i="149"/>
  <c r="H104" i="149"/>
  <c r="E316" i="149"/>
  <c r="X50" i="149"/>
  <c r="C76" i="149"/>
  <c r="C77" i="149"/>
  <c r="C75" i="149"/>
  <c r="N512" i="149"/>
  <c r="AA501" i="149"/>
  <c r="W501" i="149" s="1"/>
  <c r="Y501" i="149" s="1"/>
  <c r="R481" i="149"/>
  <c r="T467" i="149"/>
  <c r="S467" i="149" s="1"/>
  <c r="AA500" i="149"/>
  <c r="Y478" i="149"/>
  <c r="O476" i="149"/>
  <c r="F323" i="149"/>
  <c r="D343" i="149" s="1"/>
  <c r="W505" i="149"/>
  <c r="Z503" i="149"/>
  <c r="W503" i="149"/>
  <c r="N483" i="149"/>
  <c r="R469" i="149"/>
  <c r="X505" i="149" s="1"/>
  <c r="O473" i="149"/>
  <c r="E305" i="149"/>
  <c r="O472" i="149"/>
  <c r="W500" i="149"/>
  <c r="D360" i="149"/>
  <c r="D365" i="149"/>
  <c r="D310" i="149"/>
  <c r="T472" i="149"/>
  <c r="D265" i="149"/>
  <c r="D361" i="149"/>
  <c r="C361" i="149"/>
  <c r="E362" i="149"/>
  <c r="D108" i="149"/>
  <c r="C107" i="149"/>
  <c r="V472" i="149"/>
  <c r="V485" i="149"/>
  <c r="Y472" i="149"/>
  <c r="W50" i="149"/>
  <c r="F64" i="149" s="1"/>
  <c r="F324" i="149"/>
  <c r="F192" i="149"/>
  <c r="O464" i="149"/>
  <c r="Q476" i="149"/>
  <c r="X478" i="149"/>
  <c r="N480" i="149" s="1"/>
  <c r="H106" i="149"/>
  <c r="R480" i="149"/>
  <c r="Z499" i="149"/>
  <c r="W499" i="149"/>
  <c r="C66" i="149" l="1"/>
  <c r="I66" i="149" s="1"/>
  <c r="C70" i="149"/>
  <c r="I70" i="149" s="1"/>
  <c r="C82" i="149"/>
  <c r="I83" i="149" s="1"/>
  <c r="C88" i="149"/>
  <c r="I88" i="149" s="1"/>
  <c r="K323" i="149"/>
  <c r="J383" i="149" s="1"/>
  <c r="C385" i="149"/>
  <c r="D387" i="149" s="1"/>
  <c r="D392" i="149" s="1"/>
  <c r="C325" i="149"/>
  <c r="D366" i="149"/>
  <c r="D393" i="149"/>
  <c r="D394" i="149" s="1"/>
  <c r="Y50" i="149"/>
  <c r="D388" i="149"/>
  <c r="F326" i="149"/>
  <c r="D367" i="149" s="1"/>
  <c r="C329" i="149"/>
  <c r="Q473" i="149"/>
  <c r="Q474" i="149" s="1"/>
  <c r="X484" i="149" s="1"/>
  <c r="O474" i="149"/>
  <c r="X481" i="149" s="1"/>
  <c r="V487" i="149"/>
  <c r="AC472" i="149"/>
  <c r="V489" i="149" s="1"/>
  <c r="F107" i="149"/>
  <c r="H107" i="149"/>
  <c r="S476" i="149"/>
  <c r="W481" i="149"/>
  <c r="V492" i="149"/>
  <c r="AA472" i="149"/>
  <c r="O480" i="149"/>
  <c r="R472" i="149"/>
  <c r="V483" i="149" s="1"/>
  <c r="Q472" i="149"/>
  <c r="V484" i="149" s="1"/>
  <c r="P472" i="149"/>
  <c r="V482" i="149" s="1"/>
  <c r="V481" i="149"/>
  <c r="W472" i="149"/>
  <c r="U472" i="149"/>
  <c r="V491" i="149" s="1"/>
  <c r="V486" i="149"/>
  <c r="Z472" i="149"/>
  <c r="D109" i="149"/>
  <c r="C108" i="149"/>
  <c r="O483" i="149"/>
  <c r="P481" i="149"/>
  <c r="P512" i="149" s="1"/>
  <c r="N485" i="149"/>
  <c r="N488" i="149"/>
  <c r="N486" i="149"/>
  <c r="W484" i="149"/>
  <c r="V476" i="149"/>
  <c r="R487" i="149"/>
  <c r="N476" i="149"/>
  <c r="W480" i="149" s="1"/>
  <c r="Y480" i="149" s="1"/>
  <c r="P510" i="149"/>
  <c r="S510" i="149" s="1"/>
  <c r="X503" i="149"/>
  <c r="X504" i="149" s="1"/>
  <c r="Y504" i="149" s="1"/>
  <c r="Y505" i="149"/>
  <c r="O481" i="149"/>
  <c r="I67" i="149" l="1"/>
  <c r="I71" i="149"/>
  <c r="I82" i="149"/>
  <c r="F397" i="149"/>
  <c r="Y503" i="149"/>
  <c r="I89" i="149"/>
  <c r="AE472" i="149"/>
  <c r="V496" i="149" s="1"/>
  <c r="V494" i="149"/>
  <c r="W492" i="149"/>
  <c r="W476" i="149"/>
  <c r="W493" i="149" s="1"/>
  <c r="C333" i="149"/>
  <c r="C335" i="149" s="1"/>
  <c r="C336" i="149" s="1"/>
  <c r="C338" i="149" s="1"/>
  <c r="C327" i="149"/>
  <c r="C340" i="149" s="1"/>
  <c r="V493" i="149"/>
  <c r="AB472" i="149"/>
  <c r="X472" i="149"/>
  <c r="V498" i="149" s="1"/>
  <c r="P482" i="149"/>
  <c r="O512" i="149"/>
  <c r="D389" i="149"/>
  <c r="D401" i="149"/>
  <c r="F404" i="149" s="1"/>
  <c r="D400" i="149"/>
  <c r="U481" i="149"/>
  <c r="Y481" i="149"/>
  <c r="N495" i="149" s="1"/>
  <c r="P495" i="149" s="1"/>
  <c r="D369" i="149"/>
  <c r="E356" i="149"/>
  <c r="D342" i="149"/>
  <c r="C410" i="149"/>
  <c r="D363" i="149"/>
  <c r="H363" i="149" s="1"/>
  <c r="F108" i="149"/>
  <c r="H108" i="149"/>
  <c r="W485" i="149"/>
  <c r="T476" i="149"/>
  <c r="W486" i="149" s="1"/>
  <c r="D391" i="149"/>
  <c r="F395" i="149" s="1"/>
  <c r="P486" i="149"/>
  <c r="N487" i="149"/>
  <c r="P487" i="149" s="1"/>
  <c r="D110" i="149"/>
  <c r="C109" i="149"/>
  <c r="K64" i="149"/>
  <c r="Y52" i="149"/>
  <c r="J135" i="149" s="1"/>
  <c r="U484" i="149"/>
  <c r="Y484" i="149"/>
  <c r="Q481" i="149"/>
  <c r="Q512" i="149" s="1"/>
  <c r="O485" i="149"/>
  <c r="O486" i="149"/>
  <c r="O488" i="149"/>
  <c r="Q488" i="149" s="1"/>
  <c r="P488" i="149"/>
  <c r="R483" i="149"/>
  <c r="S483" i="149" s="1"/>
  <c r="V525" i="149" s="1"/>
  <c r="AD472" i="149"/>
  <c r="V490" i="149" s="1"/>
  <c r="V488" i="149"/>
  <c r="F109" i="149" l="1"/>
  <c r="H109" i="149"/>
  <c r="AF472" i="149"/>
  <c r="V497" i="149" s="1"/>
  <c r="V495" i="149"/>
  <c r="N498" i="149" s="1"/>
  <c r="P498" i="149" s="1"/>
  <c r="D111" i="149"/>
  <c r="C110" i="149"/>
  <c r="C411" i="149"/>
  <c r="C412" i="149"/>
  <c r="D357" i="149"/>
  <c r="H356" i="149"/>
  <c r="Q486" i="149"/>
  <c r="S486" i="149" s="1"/>
  <c r="O487" i="149"/>
  <c r="N496" i="149"/>
  <c r="P496" i="149" s="1"/>
  <c r="S481" i="149"/>
  <c r="S513" i="149"/>
  <c r="S512" i="149"/>
  <c r="S488" i="149"/>
  <c r="E348" i="149"/>
  <c r="E350" i="149" s="1"/>
  <c r="N493" i="149" l="1"/>
  <c r="P493" i="149" s="1"/>
  <c r="N494" i="149"/>
  <c r="P494" i="149" s="1"/>
  <c r="Q487" i="149"/>
  <c r="S487" i="149" s="1"/>
  <c r="F110" i="149"/>
  <c r="H110" i="149"/>
  <c r="D368" i="149"/>
  <c r="E353" i="149"/>
  <c r="E354" i="149"/>
  <c r="D112" i="149"/>
  <c r="C111" i="149"/>
  <c r="N497" i="149"/>
  <c r="P497" i="149" s="1"/>
  <c r="E98" i="94"/>
  <c r="Q493" i="149" l="1"/>
  <c r="F111" i="149"/>
  <c r="H111" i="149"/>
  <c r="D113" i="149"/>
  <c r="C112" i="149"/>
  <c r="D371" i="149"/>
  <c r="D374" i="149" s="1"/>
  <c r="D375" i="149" s="1"/>
  <c r="H375" i="149" s="1"/>
  <c r="E370" i="149"/>
  <c r="C370" i="149"/>
  <c r="F112" i="149" l="1"/>
  <c r="H112" i="149"/>
  <c r="D114" i="149"/>
  <c r="C113" i="149"/>
  <c r="M61" i="94"/>
  <c r="O60" i="94" s="1"/>
  <c r="F113" i="149" l="1"/>
  <c r="D133" i="149"/>
  <c r="E134" i="149" s="1"/>
  <c r="H113" i="149"/>
  <c r="D115" i="149"/>
  <c r="C114" i="149"/>
  <c r="K12" i="94"/>
  <c r="F114" i="149" l="1"/>
  <c r="H114" i="149"/>
  <c r="J133" i="149"/>
  <c r="D116" i="149"/>
  <c r="C115" i="149"/>
  <c r="C123" i="94"/>
  <c r="C113" i="94" s="1"/>
  <c r="C109" i="94" s="1"/>
  <c r="E109" i="94"/>
  <c r="E113" i="94" s="1"/>
  <c r="F115" i="149" l="1"/>
  <c r="H115" i="149"/>
  <c r="D117" i="149"/>
  <c r="C116" i="149"/>
  <c r="Y52" i="94"/>
  <c r="F116" i="149" l="1"/>
  <c r="H116" i="149"/>
  <c r="D118" i="149"/>
  <c r="C117" i="149"/>
  <c r="F117" i="149" l="1"/>
  <c r="H117" i="149"/>
  <c r="D119" i="149"/>
  <c r="C118" i="149"/>
  <c r="G123" i="94"/>
  <c r="F118" i="149" l="1"/>
  <c r="H118" i="149"/>
  <c r="D120" i="149"/>
  <c r="C119" i="149"/>
  <c r="F119" i="149" l="1"/>
  <c r="X119" i="149"/>
  <c r="J119" i="149"/>
  <c r="H119" i="149"/>
  <c r="D121" i="149"/>
  <c r="C120" i="149"/>
  <c r="K7" i="94"/>
  <c r="J3" i="94" l="1"/>
  <c r="B4" i="174" s="1"/>
  <c r="K25" i="94"/>
  <c r="K26" i="94"/>
  <c r="I89" i="94" s="1"/>
  <c r="G26" i="94"/>
  <c r="G17" i="94" s="1"/>
  <c r="E28" i="94"/>
  <c r="C100" i="94"/>
  <c r="K7" i="149"/>
  <c r="F120" i="149"/>
  <c r="X120" i="149"/>
  <c r="J120" i="149"/>
  <c r="H120" i="149"/>
  <c r="D122" i="149"/>
  <c r="C121" i="149"/>
  <c r="G232" i="94"/>
  <c r="C3" i="94"/>
  <c r="K49" i="94"/>
  <c r="K59" i="94"/>
  <c r="G98" i="94"/>
  <c r="D58" i="94"/>
  <c r="G113" i="94"/>
  <c r="G109" i="94"/>
  <c r="K48" i="149" l="1"/>
  <c r="C3" i="149"/>
  <c r="I139" i="149" s="1"/>
  <c r="J3" i="149"/>
  <c r="E28" i="149"/>
  <c r="G26" i="149"/>
  <c r="G17" i="149" s="1"/>
  <c r="K25" i="149"/>
  <c r="K26" i="149"/>
  <c r="O459" i="149"/>
  <c r="F239" i="149"/>
  <c r="L279" i="149"/>
  <c r="L280" i="149"/>
  <c r="F121" i="149"/>
  <c r="X121" i="149"/>
  <c r="J121" i="149"/>
  <c r="H121" i="149"/>
  <c r="D123" i="149"/>
  <c r="C122" i="149"/>
  <c r="G127" i="94"/>
  <c r="G164" i="94"/>
  <c r="F193" i="149" l="1"/>
  <c r="O461" i="149"/>
  <c r="F78" i="149"/>
  <c r="F77" i="149"/>
  <c r="I241" i="149"/>
  <c r="V478" i="149"/>
  <c r="Q459" i="149"/>
  <c r="S474" i="149"/>
  <c r="P457" i="149"/>
  <c r="F219" i="149"/>
  <c r="J227" i="149" s="1"/>
  <c r="R475" i="149"/>
  <c r="R476" i="149" s="1"/>
  <c r="W483" i="149" s="1"/>
  <c r="Y483" i="149" s="1"/>
  <c r="P190" i="149"/>
  <c r="D124" i="149"/>
  <c r="C123" i="149"/>
  <c r="F122" i="149"/>
  <c r="X122" i="149"/>
  <c r="J122" i="149"/>
  <c r="H122" i="149"/>
  <c r="R135" i="94"/>
  <c r="R136" i="94"/>
  <c r="X476" i="149" l="1"/>
  <c r="W498" i="149" s="1"/>
  <c r="P480" i="149"/>
  <c r="U474" i="149"/>
  <c r="Q461" i="149"/>
  <c r="T474" i="149"/>
  <c r="T475" i="149" s="1"/>
  <c r="X486" i="149" s="1"/>
  <c r="Y486" i="149" s="1"/>
  <c r="Y474" i="149"/>
  <c r="S475" i="149"/>
  <c r="X485" i="149" s="1"/>
  <c r="V474" i="149"/>
  <c r="W478" i="149"/>
  <c r="S468" i="149" s="1"/>
  <c r="X500" i="149" s="1"/>
  <c r="Y500" i="149" s="1"/>
  <c r="N501" i="149" s="1"/>
  <c r="P501" i="149" s="1"/>
  <c r="F195" i="149"/>
  <c r="F194" i="149"/>
  <c r="D125" i="149"/>
  <c r="C124" i="149"/>
  <c r="F123" i="149"/>
  <c r="X123" i="149"/>
  <c r="H123" i="149"/>
  <c r="J123" i="149"/>
  <c r="AA474" i="149" l="1"/>
  <c r="V475" i="149"/>
  <c r="X492" i="149" s="1"/>
  <c r="AA485" i="149"/>
  <c r="Y485" i="149"/>
  <c r="Y475" i="149"/>
  <c r="X487" i="149" s="1"/>
  <c r="AC474" i="149"/>
  <c r="AC475" i="149" s="1"/>
  <c r="X489" i="149" s="1"/>
  <c r="Y489" i="149" s="1"/>
  <c r="W474" i="149"/>
  <c r="W475" i="149" s="1"/>
  <c r="X493" i="149" s="1"/>
  <c r="Y493" i="149" s="1"/>
  <c r="U476" i="149"/>
  <c r="W491" i="149" s="1"/>
  <c r="X474" i="149"/>
  <c r="Q480" i="149"/>
  <c r="Q485" i="149" s="1"/>
  <c r="X491" i="149"/>
  <c r="Z474" i="149"/>
  <c r="AD474" i="149"/>
  <c r="AD475" i="149" s="1"/>
  <c r="X490" i="149" s="1"/>
  <c r="Y490" i="149" s="1"/>
  <c r="P485" i="149"/>
  <c r="F197" i="149"/>
  <c r="P189" i="149" s="1"/>
  <c r="O191" i="149" s="1"/>
  <c r="F246" i="149"/>
  <c r="C125" i="149"/>
  <c r="F124" i="149"/>
  <c r="X124" i="149"/>
  <c r="J124" i="149"/>
  <c r="H124" i="149"/>
  <c r="Y491" i="149" l="1"/>
  <c r="F203" i="149"/>
  <c r="S480" i="149"/>
  <c r="S511" i="149" s="1"/>
  <c r="S514" i="149" s="1"/>
  <c r="U514" i="149" s="1"/>
  <c r="AB474" i="149"/>
  <c r="AF474" i="149"/>
  <c r="AF475" i="149" s="1"/>
  <c r="X497" i="149" s="1"/>
  <c r="Y497" i="149" s="1"/>
  <c r="X498" i="149"/>
  <c r="Y498" i="149" s="1"/>
  <c r="Y487" i="149"/>
  <c r="Z485" i="149"/>
  <c r="X499" i="149"/>
  <c r="Y499" i="149" s="1"/>
  <c r="N500" i="149" s="1"/>
  <c r="P500" i="149" s="1"/>
  <c r="F206" i="149"/>
  <c r="AA492" i="149"/>
  <c r="Y492" i="149"/>
  <c r="Z492" i="149" s="1"/>
  <c r="Z475" i="149"/>
  <c r="X488" i="149" s="1"/>
  <c r="Y488" i="149" s="1"/>
  <c r="AA475" i="149"/>
  <c r="X494" i="149" s="1"/>
  <c r="AE474" i="149"/>
  <c r="AE475" i="149" s="1"/>
  <c r="X496" i="149" s="1"/>
  <c r="Y496" i="149" s="1"/>
  <c r="F205" i="149"/>
  <c r="I275" i="149" s="1"/>
  <c r="L278" i="149" s="1"/>
  <c r="S485" i="149"/>
  <c r="X125" i="149"/>
  <c r="F125" i="149"/>
  <c r="J125" i="149"/>
  <c r="H125" i="149"/>
  <c r="G173" i="94"/>
  <c r="E155" i="94"/>
  <c r="E154" i="94"/>
  <c r="E60" i="94"/>
  <c r="E59" i="94"/>
  <c r="I10" i="127"/>
  <c r="F93" i="94"/>
  <c r="I53" i="94"/>
  <c r="C53" i="94"/>
  <c r="K55" i="94"/>
  <c r="F53" i="94"/>
  <c r="O18" i="94"/>
  <c r="P18" i="94"/>
  <c r="Q18" i="94"/>
  <c r="R18" i="94"/>
  <c r="S18" i="94"/>
  <c r="T18" i="94"/>
  <c r="N18" i="94"/>
  <c r="Y494" i="149" l="1"/>
  <c r="AA487" i="149"/>
  <c r="Z487" i="149"/>
  <c r="AB475" i="149"/>
  <c r="X495" i="149" s="1"/>
  <c r="Y495" i="149" s="1"/>
  <c r="Z494" i="149" l="1"/>
  <c r="AA494" i="149"/>
  <c r="N499" i="149"/>
  <c r="P499" i="149" s="1"/>
  <c r="E55" i="94"/>
  <c r="O144" i="94"/>
  <c r="C33" i="94" l="1"/>
  <c r="D33" i="94"/>
  <c r="E33" i="94"/>
  <c r="F33" i="94"/>
  <c r="G33" i="94"/>
  <c r="H33" i="94"/>
  <c r="C34" i="94"/>
  <c r="D34" i="94"/>
  <c r="E34" i="94"/>
  <c r="F34" i="94"/>
  <c r="G34" i="94"/>
  <c r="H34" i="94"/>
  <c r="C35" i="94"/>
  <c r="D35" i="94"/>
  <c r="E35" i="94"/>
  <c r="F35" i="94"/>
  <c r="G35" i="94"/>
  <c r="H35" i="94"/>
  <c r="C36" i="94"/>
  <c r="D36" i="94"/>
  <c r="E36" i="94"/>
  <c r="F36" i="94"/>
  <c r="G36" i="94"/>
  <c r="H36" i="94"/>
  <c r="C37" i="94"/>
  <c r="D37" i="94"/>
  <c r="E37" i="94"/>
  <c r="F37" i="94"/>
  <c r="G37" i="94"/>
  <c r="H37" i="94"/>
  <c r="D32" i="94"/>
  <c r="E32" i="94"/>
  <c r="F32" i="94"/>
  <c r="G32" i="94"/>
  <c r="H32" i="94"/>
  <c r="C32" i="94"/>
  <c r="F32" i="149" l="1"/>
  <c r="G35" i="149"/>
  <c r="E34" i="149"/>
  <c r="C33" i="149"/>
  <c r="H36" i="149"/>
  <c r="F35" i="149"/>
  <c r="D34" i="149"/>
  <c r="D32" i="149"/>
  <c r="G36" i="149"/>
  <c r="E35" i="149"/>
  <c r="C34" i="149"/>
  <c r="H37" i="149"/>
  <c r="F36" i="149"/>
  <c r="D35" i="149"/>
  <c r="H33" i="149"/>
  <c r="G37" i="149"/>
  <c r="E36" i="149"/>
  <c r="C35" i="149"/>
  <c r="G33" i="149"/>
  <c r="C32" i="149"/>
  <c r="F37" i="149"/>
  <c r="D36" i="149"/>
  <c r="H34" i="149"/>
  <c r="F33" i="149"/>
  <c r="H32" i="149"/>
  <c r="E37" i="149"/>
  <c r="C36" i="149"/>
  <c r="G34" i="149"/>
  <c r="E33" i="149"/>
  <c r="G32" i="149"/>
  <c r="D37" i="149"/>
  <c r="H35" i="149"/>
  <c r="F34" i="149"/>
  <c r="D33" i="149"/>
  <c r="E32" i="149"/>
  <c r="C44" i="94"/>
  <c r="C37" i="149"/>
  <c r="N172" i="94"/>
  <c r="C48" i="94"/>
  <c r="C47" i="94"/>
  <c r="C46" i="94"/>
  <c r="C40" i="94"/>
  <c r="F50" i="94"/>
  <c r="F46" i="94"/>
  <c r="F49" i="94"/>
  <c r="F47" i="94"/>
  <c r="F41" i="94"/>
  <c r="F42" i="94"/>
  <c r="C50" i="94"/>
  <c r="C49" i="94"/>
  <c r="C45" i="94"/>
  <c r="C42" i="94"/>
  <c r="C41" i="94"/>
  <c r="C43" i="94"/>
  <c r="F44" i="94"/>
  <c r="C218" i="94" s="1"/>
  <c r="Q139" i="94"/>
  <c r="F43" i="94"/>
  <c r="C47" i="149" l="1"/>
  <c r="C43" i="149"/>
  <c r="X144" i="149" s="1"/>
  <c r="Z144" i="149" s="1"/>
  <c r="F41" i="149"/>
  <c r="W47" i="149" s="1"/>
  <c r="C44" i="149"/>
  <c r="F40" i="149"/>
  <c r="Y143" i="149" s="1"/>
  <c r="C45" i="149"/>
  <c r="F44" i="149"/>
  <c r="C40" i="149"/>
  <c r="F46" i="149"/>
  <c r="Y145" i="149" s="1"/>
  <c r="C41" i="149"/>
  <c r="X47" i="149" s="1"/>
  <c r="F43" i="149"/>
  <c r="Y144" i="149" s="1"/>
  <c r="C42" i="149"/>
  <c r="F47" i="149"/>
  <c r="C46" i="149"/>
  <c r="X145" i="149" s="1"/>
  <c r="Z145" i="149" s="1"/>
  <c r="C39" i="149"/>
  <c r="W49" i="149"/>
  <c r="X143" i="149"/>
  <c r="K80" i="149"/>
  <c r="N111" i="94"/>
  <c r="C130" i="94" s="1"/>
  <c r="X49" i="149" l="1"/>
  <c r="Y49" i="149" s="1"/>
  <c r="X48" i="149"/>
  <c r="W48" i="149"/>
  <c r="F80" i="149"/>
  <c r="Y47" i="149"/>
  <c r="Z143" i="149"/>
  <c r="E147" i="149" s="1"/>
  <c r="Y48" i="149" l="1"/>
  <c r="O61" i="94"/>
  <c r="N56" i="94" l="1"/>
  <c r="F56" i="94" s="1"/>
  <c r="L56" i="94" l="1"/>
  <c r="H154" i="94" l="1"/>
  <c r="H155" i="94" l="1"/>
  <c r="F168" i="94" s="1"/>
  <c r="N1" i="94"/>
  <c r="C115" i="94"/>
  <c r="F115" i="94" s="1"/>
  <c r="T354" i="94"/>
  <c r="V354" i="94" s="1"/>
  <c r="S354" i="94"/>
  <c r="U354" i="94" s="1"/>
  <c r="S352" i="94"/>
  <c r="R352" i="94"/>
  <c r="Q349" i="94"/>
  <c r="R349" i="94" s="1"/>
  <c r="T346" i="94"/>
  <c r="Q346" i="94"/>
  <c r="P346" i="94"/>
  <c r="Q345" i="94"/>
  <c r="S345" i="94" s="1"/>
  <c r="P345" i="94"/>
  <c r="W331" i="94"/>
  <c r="X329" i="94"/>
  <c r="W329" i="94"/>
  <c r="O328" i="94"/>
  <c r="O327" i="94"/>
  <c r="O326" i="94"/>
  <c r="O325" i="94"/>
  <c r="W324" i="94"/>
  <c r="O324" i="94"/>
  <c r="W323" i="94"/>
  <c r="O323" i="94"/>
  <c r="W322" i="94"/>
  <c r="O322" i="94"/>
  <c r="W321" i="94"/>
  <c r="O321" i="94"/>
  <c r="O320" i="94"/>
  <c r="W317" i="94"/>
  <c r="W316" i="94"/>
  <c r="W315" i="94"/>
  <c r="W314" i="94"/>
  <c r="P301" i="94"/>
  <c r="X309" i="94" s="1"/>
  <c r="R300" i="94"/>
  <c r="R301" i="94" s="1"/>
  <c r="X310" i="94" s="1"/>
  <c r="AA294" i="94"/>
  <c r="AB294" i="94" s="1"/>
  <c r="AA293" i="94"/>
  <c r="AC293" i="94" s="1"/>
  <c r="O293" i="94"/>
  <c r="S293" i="94" s="1"/>
  <c r="AA292" i="94"/>
  <c r="AC292" i="94" s="1"/>
  <c r="O292" i="94"/>
  <c r="W330" i="94" s="1"/>
  <c r="AA291" i="94"/>
  <c r="AB291" i="94" s="1"/>
  <c r="AA290" i="94"/>
  <c r="AB290" i="94" s="1"/>
  <c r="O290" i="94"/>
  <c r="AA328" i="94" s="1"/>
  <c r="W328" i="94" s="1"/>
  <c r="Y328" i="94" s="1"/>
  <c r="AA289" i="94"/>
  <c r="AC289" i="94" s="1"/>
  <c r="O289" i="94"/>
  <c r="AA288" i="94"/>
  <c r="AB288" i="94" s="1"/>
  <c r="AA287" i="94"/>
  <c r="AC287" i="94" s="1"/>
  <c r="Q287" i="94"/>
  <c r="O303" i="94" s="1"/>
  <c r="W308" i="94" s="1"/>
  <c r="AA286" i="94"/>
  <c r="AC286" i="94" s="1"/>
  <c r="O286" i="94"/>
  <c r="Q286" i="94" s="1"/>
  <c r="W305" i="94" s="1"/>
  <c r="AA285" i="94"/>
  <c r="AC285" i="94" s="1"/>
  <c r="AA284" i="94"/>
  <c r="AC284" i="94" s="1"/>
  <c r="T284" i="94"/>
  <c r="T290" i="94" s="1"/>
  <c r="S284" i="94"/>
  <c r="S290" i="94" s="1"/>
  <c r="S291" i="94" s="1"/>
  <c r="V300" i="94" s="1"/>
  <c r="J103" i="94"/>
  <c r="F95" i="94"/>
  <c r="E131" i="94" s="1"/>
  <c r="K46" i="94"/>
  <c r="K47" i="94" s="1"/>
  <c r="J135" i="94" s="1"/>
  <c r="C217" i="94"/>
  <c r="C173" i="94"/>
  <c r="E192" i="94" s="1"/>
  <c r="Q32" i="94"/>
  <c r="R32" i="94" s="1"/>
  <c r="Q31" i="94"/>
  <c r="S31" i="94" s="1"/>
  <c r="Q30" i="94"/>
  <c r="R30" i="94" s="1"/>
  <c r="Q29" i="94"/>
  <c r="R29" i="94" s="1"/>
  <c r="Q28" i="94"/>
  <c r="S28" i="94" s="1"/>
  <c r="Q27" i="94"/>
  <c r="S27" i="94" s="1"/>
  <c r="Q26" i="94"/>
  <c r="S26" i="94" s="1"/>
  <c r="I54" i="94"/>
  <c r="I56" i="94" s="1"/>
  <c r="Q25" i="94"/>
  <c r="R25" i="94" s="1"/>
  <c r="Q24" i="94"/>
  <c r="S24" i="94" s="1"/>
  <c r="Q23" i="94"/>
  <c r="R23" i="94" s="1"/>
  <c r="Q22" i="94"/>
  <c r="S22" i="94" s="1"/>
  <c r="K18" i="94"/>
  <c r="G175" i="94" s="1"/>
  <c r="C180" i="94" s="1"/>
  <c r="K8" i="94"/>
  <c r="C126" i="16"/>
  <c r="C128" i="16"/>
  <c r="N163" i="16" s="1"/>
  <c r="C122" i="16"/>
  <c r="E139" i="16" s="1"/>
  <c r="E122" i="16"/>
  <c r="C139" i="16" s="1"/>
  <c r="C125" i="16"/>
  <c r="F144" i="16" s="1"/>
  <c r="F138" i="16"/>
  <c r="P130" i="16" s="1"/>
  <c r="C127" i="16"/>
  <c r="F132" i="16" s="1"/>
  <c r="L168" i="16" s="1"/>
  <c r="N65" i="91" s="1"/>
  <c r="C20" i="16"/>
  <c r="G23" i="16"/>
  <c r="G21" i="16" s="1"/>
  <c r="G22" i="16" s="1"/>
  <c r="C24" i="16"/>
  <c r="C26" i="16"/>
  <c r="C28" i="16"/>
  <c r="G31" i="16"/>
  <c r="G29" i="16" s="1"/>
  <c r="G28" i="16" s="1"/>
  <c r="C30" i="16"/>
  <c r="C34" i="16"/>
  <c r="C124" i="16"/>
  <c r="F143" i="16" s="1"/>
  <c r="C173" i="16"/>
  <c r="B173" i="16"/>
  <c r="K65" i="91"/>
  <c r="L65" i="91" s="1"/>
  <c r="K61" i="91"/>
  <c r="L61" i="91" s="1"/>
  <c r="K57" i="91"/>
  <c r="L57" i="91" s="1"/>
  <c r="K55" i="91"/>
  <c r="L55" i="91" s="1"/>
  <c r="K51" i="91"/>
  <c r="L51" i="91" s="1"/>
  <c r="K47" i="91"/>
  <c r="L47" i="91" s="1"/>
  <c r="K44" i="91"/>
  <c r="L44" i="91" s="1"/>
  <c r="F63" i="91"/>
  <c r="E63" i="91" s="1"/>
  <c r="D53" i="91"/>
  <c r="G120" i="16"/>
  <c r="G128" i="16" s="1"/>
  <c r="H120" i="16"/>
  <c r="H128" i="16" s="1"/>
  <c r="K152" i="16"/>
  <c r="D24" i="91" s="1"/>
  <c r="M24" i="91" s="1"/>
  <c r="K158" i="16"/>
  <c r="D36" i="91" s="1"/>
  <c r="M36" i="91" s="1"/>
  <c r="K153" i="16"/>
  <c r="D26" i="91" s="1"/>
  <c r="M26" i="91" s="1"/>
  <c r="K159" i="16"/>
  <c r="D38" i="91" s="1"/>
  <c r="D137" i="16"/>
  <c r="L145" i="16" s="1"/>
  <c r="N10" i="91" s="1"/>
  <c r="F136" i="16"/>
  <c r="F137" i="16" s="1"/>
  <c r="L147" i="16" s="1"/>
  <c r="F149" i="16"/>
  <c r="O165" i="16"/>
  <c r="K167" i="16"/>
  <c r="E71" i="91"/>
  <c r="E70" i="91"/>
  <c r="K70" i="91"/>
  <c r="L70" i="91" s="1"/>
  <c r="B70" i="91"/>
  <c r="Q16" i="91"/>
  <c r="Q14" i="91"/>
  <c r="Q12" i="91"/>
  <c r="Q10" i="91"/>
  <c r="Q8" i="91"/>
  <c r="Q5" i="91"/>
  <c r="B65" i="91"/>
  <c r="B61" i="91"/>
  <c r="B57" i="91"/>
  <c r="B55" i="91"/>
  <c r="B51" i="91"/>
  <c r="B47" i="91"/>
  <c r="B44" i="91"/>
  <c r="B42" i="91"/>
  <c r="B40" i="91"/>
  <c r="B38" i="91"/>
  <c r="B36" i="91"/>
  <c r="B34" i="91"/>
  <c r="B32" i="91"/>
  <c r="B30" i="91"/>
  <c r="B28" i="91"/>
  <c r="B26" i="91"/>
  <c r="B24" i="91"/>
  <c r="B22" i="91"/>
  <c r="B5" i="91"/>
  <c r="B8" i="91"/>
  <c r="B10" i="91"/>
  <c r="B14" i="91"/>
  <c r="B16" i="91"/>
  <c r="B20" i="91"/>
  <c r="B18" i="91"/>
  <c r="B145" i="16"/>
  <c r="C145" i="16" s="1"/>
  <c r="C157" i="16"/>
  <c r="C158" i="16"/>
  <c r="C159" i="16"/>
  <c r="C160" i="16"/>
  <c r="C161" i="16"/>
  <c r="C162" i="16"/>
  <c r="C163" i="16"/>
  <c r="C164" i="16"/>
  <c r="C156" i="16"/>
  <c r="C38" i="16"/>
  <c r="C40" i="16"/>
  <c r="C42" i="16"/>
  <c r="C44" i="16"/>
  <c r="C48" i="16"/>
  <c r="G47" i="16"/>
  <c r="G49" i="16" s="1"/>
  <c r="C50" i="16"/>
  <c r="G39" i="16"/>
  <c r="S7" i="16"/>
  <c r="X8" i="16" s="1"/>
  <c r="S8" i="16"/>
  <c r="Q7" i="16"/>
  <c r="V8" i="16" s="1"/>
  <c r="Q8" i="16"/>
  <c r="T7" i="16"/>
  <c r="Y8" i="16" s="1"/>
  <c r="T8" i="16"/>
  <c r="R7" i="16"/>
  <c r="W8" i="16" s="1"/>
  <c r="R8" i="16"/>
  <c r="G5" i="16"/>
  <c r="Q5" i="16"/>
  <c r="V5" i="16" s="1"/>
  <c r="R5" i="16"/>
  <c r="W6" i="16" s="1"/>
  <c r="S5" i="16"/>
  <c r="X5" i="16" s="1"/>
  <c r="T5" i="16"/>
  <c r="Y10" i="16" s="1"/>
  <c r="G6" i="16"/>
  <c r="Q6" i="16"/>
  <c r="V7" i="16" s="1"/>
  <c r="R6" i="16"/>
  <c r="W7" i="16" s="1"/>
  <c r="S6" i="16"/>
  <c r="X7" i="16" s="1"/>
  <c r="T6" i="16"/>
  <c r="Y7" i="16" s="1"/>
  <c r="G8" i="16"/>
  <c r="Q9" i="16"/>
  <c r="R9" i="16"/>
  <c r="S9" i="16"/>
  <c r="T9" i="16"/>
  <c r="U9" i="16"/>
  <c r="V9" i="16" s="1"/>
  <c r="G12" i="16"/>
  <c r="F18" i="16"/>
  <c r="I18" i="16"/>
  <c r="H18" i="16" s="1"/>
  <c r="E19" i="16"/>
  <c r="F19" i="16" s="1"/>
  <c r="I19" i="16"/>
  <c r="H19" i="16" s="1"/>
  <c r="D23" i="16"/>
  <c r="D21" i="16" s="1"/>
  <c r="J23" i="16"/>
  <c r="J21" i="16" s="1"/>
  <c r="E27" i="16"/>
  <c r="F27" i="16" s="1"/>
  <c r="I27" i="16"/>
  <c r="H27" i="16" s="1"/>
  <c r="D31" i="16"/>
  <c r="D33" i="16" s="1"/>
  <c r="J31" i="16"/>
  <c r="J29" i="16" s="1"/>
  <c r="J30" i="16" s="1"/>
  <c r="E35" i="16"/>
  <c r="F35" i="16" s="1"/>
  <c r="I35" i="16"/>
  <c r="H35" i="16" s="1"/>
  <c r="D39" i="16"/>
  <c r="D37" i="16" s="1"/>
  <c r="J39" i="16"/>
  <c r="J37" i="16" s="1"/>
  <c r="J38" i="16" s="1"/>
  <c r="E43" i="16"/>
  <c r="F43" i="16" s="1"/>
  <c r="I43" i="16"/>
  <c r="H43" i="16" s="1"/>
  <c r="D47" i="16"/>
  <c r="D45" i="16" s="1"/>
  <c r="J47" i="16"/>
  <c r="E51" i="16"/>
  <c r="F51" i="16" s="1"/>
  <c r="I51" i="16"/>
  <c r="H51" i="16" s="1"/>
  <c r="C52" i="16"/>
  <c r="D55" i="16"/>
  <c r="G55" i="16"/>
  <c r="G53" i="16" s="1"/>
  <c r="J55" i="16"/>
  <c r="J57" i="16" s="1"/>
  <c r="J56" i="16" s="1"/>
  <c r="C54" i="16"/>
  <c r="C56" i="16"/>
  <c r="C58" i="16"/>
  <c r="E59" i="16"/>
  <c r="F59" i="16" s="1"/>
  <c r="I59" i="16"/>
  <c r="H59" i="16" s="1"/>
  <c r="C60" i="16"/>
  <c r="D63" i="16"/>
  <c r="D61" i="16" s="1"/>
  <c r="G63" i="16"/>
  <c r="G65" i="16" s="1"/>
  <c r="J63" i="16"/>
  <c r="J61" i="16" s="1"/>
  <c r="C64" i="16"/>
  <c r="E67" i="16"/>
  <c r="F67" i="16" s="1"/>
  <c r="I67" i="16"/>
  <c r="H67" i="16" s="1"/>
  <c r="C68" i="16"/>
  <c r="D71" i="16"/>
  <c r="D73" i="16" s="1"/>
  <c r="G71" i="16"/>
  <c r="G73" i="16" s="1"/>
  <c r="J71" i="16"/>
  <c r="J69" i="16" s="1"/>
  <c r="C70" i="16"/>
  <c r="C74" i="16"/>
  <c r="E75" i="16"/>
  <c r="F75" i="16" s="1"/>
  <c r="I75" i="16"/>
  <c r="H75" i="16" s="1"/>
  <c r="D79" i="16"/>
  <c r="G79" i="16"/>
  <c r="G81" i="16" s="1"/>
  <c r="J79" i="16"/>
  <c r="J77" i="16" s="1"/>
  <c r="C78" i="16"/>
  <c r="C80" i="16"/>
  <c r="E83" i="16"/>
  <c r="F83" i="16" s="1"/>
  <c r="I83" i="16"/>
  <c r="H83" i="16" s="1"/>
  <c r="C84" i="16"/>
  <c r="D87" i="16"/>
  <c r="G87" i="16"/>
  <c r="G89" i="16" s="1"/>
  <c r="J87" i="16"/>
  <c r="J89" i="16" s="1"/>
  <c r="C88" i="16"/>
  <c r="C90" i="16"/>
  <c r="E91" i="16"/>
  <c r="F91" i="16" s="1"/>
  <c r="I91" i="16"/>
  <c r="H91" i="16" s="1"/>
  <c r="D95" i="16"/>
  <c r="D93" i="16" s="1"/>
  <c r="G95" i="16"/>
  <c r="G93" i="16" s="1"/>
  <c r="G94" i="16" s="1"/>
  <c r="J95" i="16"/>
  <c r="J97" i="16" s="1"/>
  <c r="J98" i="16" s="1"/>
  <c r="C94" i="16"/>
  <c r="C98" i="16"/>
  <c r="E99" i="16"/>
  <c r="F99" i="16" s="1"/>
  <c r="I99" i="16"/>
  <c r="H99" i="16" s="1"/>
  <c r="C100" i="16"/>
  <c r="D103" i="16"/>
  <c r="D101" i="16" s="1"/>
  <c r="G103" i="16"/>
  <c r="G101" i="16" s="1"/>
  <c r="J103" i="16"/>
  <c r="J105" i="16" s="1"/>
  <c r="C102" i="16"/>
  <c r="C104" i="16"/>
  <c r="C106" i="16"/>
  <c r="E107" i="16"/>
  <c r="F107" i="16" s="1"/>
  <c r="I107" i="16"/>
  <c r="H107" i="16" s="1"/>
  <c r="C108" i="16"/>
  <c r="D111" i="16"/>
  <c r="D113" i="16" s="1"/>
  <c r="D114" i="16" s="1"/>
  <c r="G111" i="16"/>
  <c r="G113" i="16" s="1"/>
  <c r="J111" i="16"/>
  <c r="J113" i="16" s="1"/>
  <c r="J114" i="16" s="1"/>
  <c r="C110" i="16"/>
  <c r="C112" i="16"/>
  <c r="C114" i="16"/>
  <c r="E115" i="16"/>
  <c r="F115" i="16" s="1"/>
  <c r="I115" i="16"/>
  <c r="H115" i="16" s="1"/>
  <c r="J45" i="16"/>
  <c r="J46" i="16" s="1"/>
  <c r="V10" i="16"/>
  <c r="V6" i="16"/>
  <c r="C121" i="16"/>
  <c r="E121" i="16" s="1"/>
  <c r="M61" i="91"/>
  <c r="C123" i="16"/>
  <c r="D143" i="16" s="1"/>
  <c r="D148" i="16" s="1"/>
  <c r="M141" i="16"/>
  <c r="C143" i="16" s="1"/>
  <c r="E144" i="16" s="1"/>
  <c r="E175" i="16" s="1"/>
  <c r="D138" i="16"/>
  <c r="B136" i="16"/>
  <c r="B137" i="16" s="1"/>
  <c r="L143" i="16" s="1"/>
  <c r="N5" i="91" s="1"/>
  <c r="B135" i="16"/>
  <c r="J143" i="16" s="1"/>
  <c r="L141" i="16"/>
  <c r="B143" i="16" s="1"/>
  <c r="C135" i="16"/>
  <c r="F135" i="16" s="1"/>
  <c r="J147" i="16" s="1"/>
  <c r="K14" i="91" s="1"/>
  <c r="L14" i="91" s="1"/>
  <c r="C136" i="16"/>
  <c r="C137" i="16" s="1"/>
  <c r="L144" i="16" s="1"/>
  <c r="N8" i="91" s="1"/>
  <c r="G135" i="16"/>
  <c r="N162" i="16" s="1"/>
  <c r="D45" i="91" s="1"/>
  <c r="M44" i="91" s="1"/>
  <c r="H135" i="16"/>
  <c r="K135" i="16" s="1"/>
  <c r="U287" i="94"/>
  <c r="D116" i="94"/>
  <c r="F116" i="94"/>
  <c r="D117" i="94"/>
  <c r="F117" i="94"/>
  <c r="K28" i="94" l="1"/>
  <c r="F89" i="94" s="1"/>
  <c r="K27" i="94"/>
  <c r="G20" i="94"/>
  <c r="F28" i="94"/>
  <c r="C28" i="94" s="1"/>
  <c r="K30" i="94"/>
  <c r="K42" i="94" s="1"/>
  <c r="K8" i="149"/>
  <c r="J109" i="16"/>
  <c r="J108" i="16" s="1"/>
  <c r="B146" i="16"/>
  <c r="C146" i="16" s="1"/>
  <c r="N168" i="16"/>
  <c r="K168" i="16" s="1"/>
  <c r="M168" i="16" s="1"/>
  <c r="E55" i="16"/>
  <c r="F55" i="16" s="1"/>
  <c r="K166" i="16"/>
  <c r="N166" i="16"/>
  <c r="F59" i="91" s="1"/>
  <c r="E59" i="91" s="1"/>
  <c r="D57" i="16"/>
  <c r="D56" i="16" s="1"/>
  <c r="E87" i="16"/>
  <c r="F87" i="16" s="1"/>
  <c r="E106" i="149"/>
  <c r="E105" i="149"/>
  <c r="E108" i="149"/>
  <c r="E109" i="149"/>
  <c r="E110" i="149"/>
  <c r="E111" i="149"/>
  <c r="E112" i="149"/>
  <c r="E114" i="149"/>
  <c r="E116" i="149"/>
  <c r="E118" i="149"/>
  <c r="E119" i="149"/>
  <c r="E120" i="149"/>
  <c r="E121" i="149"/>
  <c r="E122" i="149"/>
  <c r="E124" i="149"/>
  <c r="E125" i="149"/>
  <c r="D173" i="16"/>
  <c r="G173" i="16" s="1"/>
  <c r="G177" i="16" s="1"/>
  <c r="O467" i="149"/>
  <c r="N482" i="149" s="1"/>
  <c r="D85" i="16"/>
  <c r="D86" i="16" s="1"/>
  <c r="D53" i="16"/>
  <c r="D54" i="16" s="1"/>
  <c r="D89" i="16"/>
  <c r="D88" i="16" s="1"/>
  <c r="H127" i="16"/>
  <c r="I23" i="16"/>
  <c r="H23" i="16" s="1"/>
  <c r="X6" i="16"/>
  <c r="J25" i="16"/>
  <c r="J24" i="16" s="1"/>
  <c r="E31" i="16"/>
  <c r="F31" i="16" s="1"/>
  <c r="D25" i="16"/>
  <c r="D24" i="16" s="1"/>
  <c r="D49" i="91"/>
  <c r="N165" i="16"/>
  <c r="K165" i="16" s="1"/>
  <c r="B144" i="16"/>
  <c r="B175" i="16" s="1"/>
  <c r="J65" i="16"/>
  <c r="J66" i="16" s="1"/>
  <c r="W5" i="16"/>
  <c r="G129" i="16"/>
  <c r="Y6" i="16"/>
  <c r="I135" i="16"/>
  <c r="J160" i="16" s="1"/>
  <c r="K40" i="91" s="1"/>
  <c r="L40" i="91" s="1"/>
  <c r="M135" i="16"/>
  <c r="J150" i="16" s="1"/>
  <c r="K20" i="91" s="1"/>
  <c r="L20" i="91" s="1"/>
  <c r="E23" i="16"/>
  <c r="F23" i="16" s="1"/>
  <c r="G57" i="16"/>
  <c r="D41" i="16"/>
  <c r="D42" i="16" s="1"/>
  <c r="J73" i="16"/>
  <c r="J74" i="16" s="1"/>
  <c r="W10" i="16"/>
  <c r="E73" i="16"/>
  <c r="F73" i="16" s="1"/>
  <c r="D74" i="16"/>
  <c r="D22" i="16"/>
  <c r="E22" i="16" s="1"/>
  <c r="F22" i="16" s="1"/>
  <c r="D20" i="16"/>
  <c r="G114" i="16"/>
  <c r="E113" i="16"/>
  <c r="F113" i="16" s="1"/>
  <c r="J62" i="16"/>
  <c r="J60" i="16"/>
  <c r="J139" i="16"/>
  <c r="K154" i="16" s="1"/>
  <c r="D28" i="91" s="1"/>
  <c r="M28" i="91" s="1"/>
  <c r="K146" i="16"/>
  <c r="D12" i="91" s="1"/>
  <c r="M12" i="91" s="1"/>
  <c r="J135" i="16"/>
  <c r="J154" i="16" s="1"/>
  <c r="K28" i="91" s="1"/>
  <c r="L28" i="91" s="1"/>
  <c r="L139" i="16"/>
  <c r="K161" i="16" s="1"/>
  <c r="D42" i="91" s="1"/>
  <c r="M42" i="91" s="1"/>
  <c r="H125" i="16"/>
  <c r="H136" i="16" s="1"/>
  <c r="G112" i="16"/>
  <c r="I103" i="16"/>
  <c r="H103" i="16" s="1"/>
  <c r="E71" i="16"/>
  <c r="F71" i="16" s="1"/>
  <c r="D135" i="16"/>
  <c r="J145" i="16" s="1"/>
  <c r="K10" i="91" s="1"/>
  <c r="L10" i="91" s="1"/>
  <c r="J44" i="16"/>
  <c r="D69" i="16"/>
  <c r="J144" i="16"/>
  <c r="K8" i="91" s="1"/>
  <c r="L8" i="91" s="1"/>
  <c r="D120" i="16"/>
  <c r="J41" i="16"/>
  <c r="J42" i="16" s="1"/>
  <c r="G109" i="16"/>
  <c r="G110" i="16" s="1"/>
  <c r="E135" i="16"/>
  <c r="J146" i="16" s="1"/>
  <c r="K12" i="91" s="1"/>
  <c r="L12" i="91" s="1"/>
  <c r="J141" i="16"/>
  <c r="E123" i="16"/>
  <c r="G92" i="16"/>
  <c r="D139" i="16"/>
  <c r="K145" i="16" s="1"/>
  <c r="I71" i="16"/>
  <c r="H71" i="16" s="1"/>
  <c r="I95" i="16"/>
  <c r="H95" i="16" s="1"/>
  <c r="I79" i="16"/>
  <c r="H79" i="16" s="1"/>
  <c r="Y9" i="16"/>
  <c r="E79" i="16"/>
  <c r="F79" i="16" s="1"/>
  <c r="I47" i="16"/>
  <c r="H47" i="16" s="1"/>
  <c r="E111" i="16"/>
  <c r="F111" i="16" s="1"/>
  <c r="G77" i="16"/>
  <c r="J81" i="16"/>
  <c r="J82" i="16" s="1"/>
  <c r="N47" i="94"/>
  <c r="C177" i="94"/>
  <c r="AB284" i="94"/>
  <c r="AC288" i="94"/>
  <c r="AB286" i="94"/>
  <c r="AB293" i="94"/>
  <c r="N308" i="94"/>
  <c r="N339" i="94" s="1"/>
  <c r="AB287" i="94"/>
  <c r="AB285" i="94"/>
  <c r="N48" i="94"/>
  <c r="O46" i="94"/>
  <c r="O47" i="94"/>
  <c r="W354" i="94"/>
  <c r="W355" i="94" s="1"/>
  <c r="N46" i="94"/>
  <c r="O48" i="94"/>
  <c r="S349" i="94"/>
  <c r="V349" i="94" s="1"/>
  <c r="S346" i="94"/>
  <c r="J20" i="16"/>
  <c r="J22" i="16"/>
  <c r="G90" i="16"/>
  <c r="G88" i="16"/>
  <c r="E88" i="16" s="1"/>
  <c r="F88" i="16" s="1"/>
  <c r="E89" i="16"/>
  <c r="F89" i="16" s="1"/>
  <c r="D46" i="16"/>
  <c r="D44" i="16"/>
  <c r="G52" i="16"/>
  <c r="G54" i="16"/>
  <c r="W9" i="16"/>
  <c r="G80" i="16"/>
  <c r="J33" i="16"/>
  <c r="J34" i="16" s="1"/>
  <c r="J96" i="16"/>
  <c r="I55" i="16"/>
  <c r="H55" i="16" s="1"/>
  <c r="G25" i="16"/>
  <c r="E103" i="16"/>
  <c r="F103" i="16" s="1"/>
  <c r="X9" i="16"/>
  <c r="E95" i="16"/>
  <c r="F95" i="16" s="1"/>
  <c r="D112" i="16"/>
  <c r="C149" i="16"/>
  <c r="E149" i="16" s="1"/>
  <c r="D77" i="16"/>
  <c r="M70" i="91"/>
  <c r="E21" i="16"/>
  <c r="F21" i="16" s="1"/>
  <c r="D81" i="16"/>
  <c r="I21" i="16"/>
  <c r="H21" i="16" s="1"/>
  <c r="G48" i="16"/>
  <c r="D65" i="16"/>
  <c r="D66" i="16" s="1"/>
  <c r="D49" i="16"/>
  <c r="D48" i="16" s="1"/>
  <c r="D65" i="91"/>
  <c r="M65" i="91" s="1"/>
  <c r="O65" i="91" s="1"/>
  <c r="G85" i="16"/>
  <c r="G86" i="16" s="1"/>
  <c r="E86" i="16" s="1"/>
  <c r="F86" i="16" s="1"/>
  <c r="J26" i="16"/>
  <c r="G20" i="16"/>
  <c r="E20" i="16" s="1"/>
  <c r="F20" i="16" s="1"/>
  <c r="G45" i="16"/>
  <c r="E45" i="16" s="1"/>
  <c r="I63" i="16"/>
  <c r="H63" i="16" s="1"/>
  <c r="E47" i="16"/>
  <c r="F47" i="16" s="1"/>
  <c r="C144" i="16"/>
  <c r="D145" i="16" s="1"/>
  <c r="G145" i="16" s="1"/>
  <c r="E136" i="16"/>
  <c r="E137" i="16" s="1"/>
  <c r="L146" i="16" s="1"/>
  <c r="G125" i="16"/>
  <c r="I87" i="16"/>
  <c r="H87" i="16" s="1"/>
  <c r="G74" i="16"/>
  <c r="I31" i="16"/>
  <c r="H31" i="16" s="1"/>
  <c r="X10" i="16"/>
  <c r="G97" i="16"/>
  <c r="G96" i="16" s="1"/>
  <c r="Y329" i="94"/>
  <c r="AC290" i="94"/>
  <c r="AC294" i="94"/>
  <c r="V345" i="94"/>
  <c r="N352" i="94" s="1"/>
  <c r="R22" i="94"/>
  <c r="V346" i="94"/>
  <c r="AB292" i="94"/>
  <c r="R346" i="94"/>
  <c r="AA309" i="94"/>
  <c r="I114" i="16"/>
  <c r="H114" i="16" s="1"/>
  <c r="J76" i="16"/>
  <c r="J78" i="16"/>
  <c r="J90" i="16"/>
  <c r="I90" i="16" s="1"/>
  <c r="H90" i="16" s="1"/>
  <c r="I89" i="16"/>
  <c r="H89" i="16" s="1"/>
  <c r="K144" i="16"/>
  <c r="M144" i="16" s="1"/>
  <c r="G139" i="16"/>
  <c r="H137" i="16"/>
  <c r="H138" i="16" s="1"/>
  <c r="L149" i="16" s="1"/>
  <c r="N18" i="91" s="1"/>
  <c r="I136" i="16"/>
  <c r="I137" i="16" s="1"/>
  <c r="L160" i="16" s="1"/>
  <c r="N40" i="91" s="1"/>
  <c r="D34" i="16"/>
  <c r="J106" i="16"/>
  <c r="J104" i="16"/>
  <c r="G100" i="16"/>
  <c r="G102" i="16"/>
  <c r="E114" i="16"/>
  <c r="F114" i="16" s="1"/>
  <c r="E101" i="16"/>
  <c r="F101" i="16" s="1"/>
  <c r="D100" i="16"/>
  <c r="D102" i="16"/>
  <c r="D94" i="16"/>
  <c r="E94" i="16" s="1"/>
  <c r="F94" i="16" s="1"/>
  <c r="D92" i="16"/>
  <c r="E92" i="16" s="1"/>
  <c r="F92" i="16" s="1"/>
  <c r="E93" i="16"/>
  <c r="F93" i="16" s="1"/>
  <c r="I65" i="16"/>
  <c r="H65" i="16" s="1"/>
  <c r="G66" i="16"/>
  <c r="I22" i="16"/>
  <c r="H22" i="16" s="1"/>
  <c r="D62" i="16"/>
  <c r="D60" i="16"/>
  <c r="J68" i="16"/>
  <c r="J70" i="16"/>
  <c r="D36" i="16"/>
  <c r="D38" i="16"/>
  <c r="N299" i="94"/>
  <c r="V307" i="94" s="1"/>
  <c r="N135" i="16"/>
  <c r="I113" i="16"/>
  <c r="H113" i="16" s="1"/>
  <c r="D84" i="16"/>
  <c r="D26" i="16"/>
  <c r="J36" i="16"/>
  <c r="G82" i="16"/>
  <c r="J58" i="16"/>
  <c r="I29" i="16"/>
  <c r="H29" i="16" s="1"/>
  <c r="G69" i="16"/>
  <c r="D109" i="16"/>
  <c r="D97" i="16"/>
  <c r="G30" i="16"/>
  <c r="J53" i="16"/>
  <c r="G33" i="16"/>
  <c r="E33" i="16" s="1"/>
  <c r="F33" i="16" s="1"/>
  <c r="G105" i="16"/>
  <c r="G104" i="16" s="1"/>
  <c r="J93" i="16"/>
  <c r="I93" i="16" s="1"/>
  <c r="H93" i="16" s="1"/>
  <c r="I118" i="94"/>
  <c r="S32" i="94"/>
  <c r="J64" i="16"/>
  <c r="G64" i="16"/>
  <c r="J112" i="16"/>
  <c r="I112" i="16" s="1"/>
  <c r="H112" i="16" s="1"/>
  <c r="E39" i="16"/>
  <c r="F39" i="16" s="1"/>
  <c r="D29" i="16"/>
  <c r="AC291" i="94"/>
  <c r="J149" i="16"/>
  <c r="K18" i="91" s="1"/>
  <c r="L18" i="91" s="1"/>
  <c r="F150" i="16"/>
  <c r="G72" i="16"/>
  <c r="J85" i="16"/>
  <c r="R26" i="94"/>
  <c r="O135" i="16"/>
  <c r="J156" i="16" s="1"/>
  <c r="K32" i="91" s="1"/>
  <c r="L32" i="91" s="1"/>
  <c r="J28" i="16"/>
  <c r="I28" i="16" s="1"/>
  <c r="H28" i="16" s="1"/>
  <c r="J110" i="16"/>
  <c r="I110" i="16" s="1"/>
  <c r="H110" i="16" s="1"/>
  <c r="I39" i="16"/>
  <c r="H39" i="16" s="1"/>
  <c r="J88" i="16"/>
  <c r="G61" i="16"/>
  <c r="Y5" i="16"/>
  <c r="M38" i="91"/>
  <c r="AB289" i="94"/>
  <c r="K163" i="16"/>
  <c r="G41" i="16"/>
  <c r="G40" i="16" s="1"/>
  <c r="G50" i="16"/>
  <c r="G37" i="16"/>
  <c r="E37" i="16" s="1"/>
  <c r="F37" i="16" s="1"/>
  <c r="J49" i="16"/>
  <c r="J50" i="16" s="1"/>
  <c r="O164" i="16"/>
  <c r="I111" i="16"/>
  <c r="H111" i="16" s="1"/>
  <c r="J32" i="16"/>
  <c r="H129" i="16"/>
  <c r="C151" i="16"/>
  <c r="E151" i="16" s="1"/>
  <c r="D40" i="16"/>
  <c r="J101" i="16"/>
  <c r="I101" i="16" s="1"/>
  <c r="H101" i="16" s="1"/>
  <c r="E63" i="16"/>
  <c r="F63" i="16" s="1"/>
  <c r="I109" i="16"/>
  <c r="H109" i="16" s="1"/>
  <c r="D105" i="16"/>
  <c r="D72" i="16"/>
  <c r="D32" i="16"/>
  <c r="P131" i="16"/>
  <c r="P139" i="16" s="1"/>
  <c r="O163" i="16"/>
  <c r="E49" i="91" s="1"/>
  <c r="F139" i="16"/>
  <c r="K147" i="16" s="1"/>
  <c r="M147" i="16" s="1"/>
  <c r="I77" i="16"/>
  <c r="H77" i="16" s="1"/>
  <c r="E53" i="16"/>
  <c r="F53" i="16" s="1"/>
  <c r="J114" i="94"/>
  <c r="R296" i="94"/>
  <c r="X332" i="94" s="1"/>
  <c r="W332" i="94"/>
  <c r="N310" i="94"/>
  <c r="O310" i="94" s="1"/>
  <c r="Z330" i="94"/>
  <c r="W327" i="94"/>
  <c r="Z327" i="94"/>
  <c r="R345" i="94"/>
  <c r="V305" i="94"/>
  <c r="Y305" i="94"/>
  <c r="O307" i="94" s="1"/>
  <c r="O315" i="94" s="1"/>
  <c r="Q315" i="94" s="1"/>
  <c r="T291" i="94"/>
  <c r="W300" i="94" s="1"/>
  <c r="X300" i="94" s="1"/>
  <c r="T300" i="94"/>
  <c r="U300" i="94" s="1"/>
  <c r="O294" i="94"/>
  <c r="N309" i="94" s="1"/>
  <c r="O309" i="94" s="1"/>
  <c r="AA327" i="94"/>
  <c r="R308" i="94"/>
  <c r="S25" i="94"/>
  <c r="R31" i="94"/>
  <c r="S29" i="94"/>
  <c r="R27" i="94"/>
  <c r="R24" i="94"/>
  <c r="S23" i="94"/>
  <c r="S30" i="94"/>
  <c r="R28" i="94"/>
  <c r="S303" i="94"/>
  <c r="T303" i="94" s="1"/>
  <c r="W313" i="94" s="1"/>
  <c r="O291" i="94"/>
  <c r="P337" i="94" s="1"/>
  <c r="S337" i="94" s="1"/>
  <c r="V301" i="94"/>
  <c r="V302" i="94" s="1"/>
  <c r="R302" i="94"/>
  <c r="R303" i="94" s="1"/>
  <c r="W310" i="94" s="1"/>
  <c r="Y310" i="94" s="1"/>
  <c r="S300" i="94"/>
  <c r="A19" i="93"/>
  <c r="C174" i="94"/>
  <c r="C235" i="94" s="1"/>
  <c r="N137" i="94"/>
  <c r="K170" i="94"/>
  <c r="G174" i="94"/>
  <c r="R307" i="94"/>
  <c r="T294" i="94"/>
  <c r="S294" i="94" s="1"/>
  <c r="O287" i="94"/>
  <c r="K215" i="94"/>
  <c r="K5" i="91"/>
  <c r="D10" i="91"/>
  <c r="M10" i="91" s="1"/>
  <c r="O10" i="91" s="1"/>
  <c r="M145" i="16"/>
  <c r="K141" i="16"/>
  <c r="G131" i="16" s="1"/>
  <c r="L163" i="16" s="1"/>
  <c r="N14" i="91"/>
  <c r="O145" i="16"/>
  <c r="O130" i="16"/>
  <c r="B151" i="16"/>
  <c r="B148" i="16"/>
  <c r="D144" i="16"/>
  <c r="D175" i="16" s="1"/>
  <c r="B149" i="16"/>
  <c r="P135" i="16"/>
  <c r="J155" i="16"/>
  <c r="K30" i="91" s="1"/>
  <c r="L30" i="91" s="1"/>
  <c r="L135" i="16"/>
  <c r="J161" i="16" s="1"/>
  <c r="K42" i="91" s="1"/>
  <c r="L42" i="91" s="1"/>
  <c r="Q135" i="16"/>
  <c r="J152" i="16" s="1"/>
  <c r="K24" i="91" s="1"/>
  <c r="L24" i="91" s="1"/>
  <c r="N130" i="16"/>
  <c r="J148" i="16"/>
  <c r="K16" i="91" s="1"/>
  <c r="L16" i="91" s="1"/>
  <c r="C148" i="16"/>
  <c r="L166" i="16"/>
  <c r="G127" i="16"/>
  <c r="K162" i="16"/>
  <c r="B139" i="16"/>
  <c r="K143" i="16" s="1"/>
  <c r="B2" i="91"/>
  <c r="C54" i="94" l="1"/>
  <c r="C56" i="94" s="1"/>
  <c r="M56" i="94" s="1"/>
  <c r="G20" i="149"/>
  <c r="F28" i="149"/>
  <c r="C28" i="149" s="1"/>
  <c r="K27" i="149"/>
  <c r="K28" i="149"/>
  <c r="F218" i="149" s="1"/>
  <c r="K30" i="149"/>
  <c r="K42" i="149" s="1"/>
  <c r="C67" i="149" s="1"/>
  <c r="D184" i="94"/>
  <c r="D222" i="94"/>
  <c r="F100" i="94"/>
  <c r="I105" i="94" s="1"/>
  <c r="N271" i="149"/>
  <c r="E117" i="149"/>
  <c r="K139" i="16"/>
  <c r="K155" i="16" s="1"/>
  <c r="D30" i="91" s="1"/>
  <c r="M30" i="91" s="1"/>
  <c r="E74" i="16"/>
  <c r="F74" i="16" s="1"/>
  <c r="M47" i="91"/>
  <c r="E54" i="16"/>
  <c r="F54" i="16" s="1"/>
  <c r="E123" i="149"/>
  <c r="E115" i="149"/>
  <c r="E107" i="149"/>
  <c r="N145" i="16"/>
  <c r="M146" i="16"/>
  <c r="D58" i="16"/>
  <c r="D55" i="91"/>
  <c r="M55" i="91" s="1"/>
  <c r="D52" i="16"/>
  <c r="E52" i="16" s="1"/>
  <c r="F52" i="16" s="1"/>
  <c r="E77" i="16"/>
  <c r="F77" i="16" s="1"/>
  <c r="D90" i="16"/>
  <c r="E113" i="149"/>
  <c r="M57" i="91"/>
  <c r="H126" i="16"/>
  <c r="K136" i="16" s="1"/>
  <c r="L136" i="16" s="1"/>
  <c r="I74" i="16"/>
  <c r="H74" i="16" s="1"/>
  <c r="C220" i="94"/>
  <c r="D221" i="94" s="1"/>
  <c r="C226" i="94" s="1"/>
  <c r="C181" i="94"/>
  <c r="N173" i="94"/>
  <c r="O482" i="149"/>
  <c r="S482" i="149" s="1"/>
  <c r="S484" i="149" s="1"/>
  <c r="F199" i="149"/>
  <c r="E112" i="16"/>
  <c r="F112" i="16" s="1"/>
  <c r="I81" i="16"/>
  <c r="H81" i="16" s="1"/>
  <c r="I73" i="16"/>
  <c r="H73" i="16" s="1"/>
  <c r="G108" i="16"/>
  <c r="E48" i="16"/>
  <c r="F48" i="16" s="1"/>
  <c r="N137" i="16"/>
  <c r="N138" i="16" s="1"/>
  <c r="L151" i="16" s="1"/>
  <c r="N22" i="91" s="1"/>
  <c r="D8" i="91"/>
  <c r="M8" i="91" s="1"/>
  <c r="O8" i="91" s="1"/>
  <c r="I45" i="16"/>
  <c r="I46" i="16" s="1"/>
  <c r="J72" i="16"/>
  <c r="I72" i="16" s="1"/>
  <c r="H72" i="16" s="1"/>
  <c r="D14" i="91"/>
  <c r="M14" i="91" s="1"/>
  <c r="E49" i="16"/>
  <c r="F49" i="16" s="1"/>
  <c r="J40" i="16"/>
  <c r="I40" i="16" s="1"/>
  <c r="H40" i="16" s="1"/>
  <c r="G56" i="16"/>
  <c r="G58" i="16"/>
  <c r="I58" i="16" s="1"/>
  <c r="H58" i="16" s="1"/>
  <c r="I57" i="16"/>
  <c r="H57" i="16" s="1"/>
  <c r="L137" i="16"/>
  <c r="L161" i="16" s="1"/>
  <c r="N42" i="91" s="1"/>
  <c r="O42" i="91" s="1"/>
  <c r="E72" i="16"/>
  <c r="F72" i="16" s="1"/>
  <c r="E57" i="16"/>
  <c r="F57" i="16" s="1"/>
  <c r="E65" i="16"/>
  <c r="F65" i="16" s="1"/>
  <c r="I146" i="16"/>
  <c r="B12" i="91" s="1"/>
  <c r="E90" i="16"/>
  <c r="F90" i="16" s="1"/>
  <c r="P46" i="94"/>
  <c r="G78" i="16"/>
  <c r="I78" i="16" s="1"/>
  <c r="H78" i="16" s="1"/>
  <c r="G76" i="16"/>
  <c r="I76" i="16" s="1"/>
  <c r="H76" i="16" s="1"/>
  <c r="E66" i="16"/>
  <c r="F66" i="16" s="1"/>
  <c r="E143" i="16"/>
  <c r="I139" i="16"/>
  <c r="K160" i="16" s="1"/>
  <c r="D68" i="16"/>
  <c r="D70" i="16"/>
  <c r="J80" i="16"/>
  <c r="I80" i="16" s="1"/>
  <c r="H80" i="16" s="1"/>
  <c r="N131" i="16"/>
  <c r="O131" i="16" s="1"/>
  <c r="M131" i="16"/>
  <c r="D64" i="16"/>
  <c r="E64" i="16" s="1"/>
  <c r="F64" i="16" s="1"/>
  <c r="F146" i="16"/>
  <c r="G146" i="16" s="1"/>
  <c r="D50" i="16"/>
  <c r="E50" i="16" s="1"/>
  <c r="F50" i="16" s="1"/>
  <c r="J48" i="16"/>
  <c r="I48" i="16" s="1"/>
  <c r="H48" i="16" s="1"/>
  <c r="C150" i="16"/>
  <c r="E150" i="16" s="1"/>
  <c r="C175" i="16"/>
  <c r="E41" i="16"/>
  <c r="F41" i="16" s="1"/>
  <c r="I88" i="16"/>
  <c r="H88" i="16" s="1"/>
  <c r="N12" i="91"/>
  <c r="O12" i="91" s="1"/>
  <c r="P48" i="94"/>
  <c r="D196" i="94"/>
  <c r="N138" i="94"/>
  <c r="P134" i="94" s="1"/>
  <c r="O59" i="94"/>
  <c r="P144" i="94"/>
  <c r="P47" i="94"/>
  <c r="L175" i="94"/>
  <c r="K218" i="94" s="1"/>
  <c r="F45" i="16"/>
  <c r="F46" i="16" s="1"/>
  <c r="E46" i="16"/>
  <c r="K137" i="16"/>
  <c r="K138" i="16" s="1"/>
  <c r="L155" i="16" s="1"/>
  <c r="N30" i="91" s="1"/>
  <c r="O30" i="91" s="1"/>
  <c r="D76" i="16"/>
  <c r="D78" i="16"/>
  <c r="G24" i="16"/>
  <c r="I25" i="16"/>
  <c r="H25" i="16" s="1"/>
  <c r="G26" i="16"/>
  <c r="E26" i="16" s="1"/>
  <c r="F26" i="16" s="1"/>
  <c r="G136" i="16"/>
  <c r="G137" i="16" s="1"/>
  <c r="G138" i="16" s="1"/>
  <c r="L148" i="16" s="1"/>
  <c r="G126" i="16"/>
  <c r="J136" i="16" s="1"/>
  <c r="J137" i="16" s="1"/>
  <c r="E81" i="16"/>
  <c r="F81" i="16" s="1"/>
  <c r="D82" i="16"/>
  <c r="I49" i="16"/>
  <c r="H49" i="16" s="1"/>
  <c r="G84" i="16"/>
  <c r="E84" i="16" s="1"/>
  <c r="F84" i="16" s="1"/>
  <c r="E85" i="16"/>
  <c r="F85" i="16" s="1"/>
  <c r="G144" i="16"/>
  <c r="E25" i="16"/>
  <c r="F25" i="16" s="1"/>
  <c r="I97" i="16"/>
  <c r="H97" i="16" s="1"/>
  <c r="G98" i="16"/>
  <c r="I20" i="16"/>
  <c r="H20" i="16" s="1"/>
  <c r="G46" i="16"/>
  <c r="G44" i="16"/>
  <c r="I44" i="16" s="1"/>
  <c r="H44" i="16" s="1"/>
  <c r="D80" i="16"/>
  <c r="E80" i="16" s="1"/>
  <c r="F80" i="16" s="1"/>
  <c r="N300" i="94"/>
  <c r="N301" i="94" s="1"/>
  <c r="X307" i="94" s="1"/>
  <c r="I50" i="16"/>
  <c r="H50" i="16" s="1"/>
  <c r="E97" i="16"/>
  <c r="F97" i="16" s="1"/>
  <c r="D96" i="16"/>
  <c r="E96" i="16" s="1"/>
  <c r="F96" i="16" s="1"/>
  <c r="D98" i="16"/>
  <c r="D110" i="16"/>
  <c r="E110" i="16" s="1"/>
  <c r="F110" i="16" s="1"/>
  <c r="D108" i="16"/>
  <c r="E108" i="16" s="1"/>
  <c r="F108" i="16" s="1"/>
  <c r="E109" i="16"/>
  <c r="F109" i="16" s="1"/>
  <c r="E105" i="16"/>
  <c r="F105" i="16" s="1"/>
  <c r="D106" i="16"/>
  <c r="G70" i="16"/>
  <c r="I69" i="16"/>
  <c r="H69" i="16" s="1"/>
  <c r="G68" i="16"/>
  <c r="E69" i="16"/>
  <c r="F69" i="16" s="1"/>
  <c r="I66" i="16"/>
  <c r="H66" i="16" s="1"/>
  <c r="I108" i="16"/>
  <c r="H108" i="16" s="1"/>
  <c r="I104" i="16"/>
  <c r="H104" i="16" s="1"/>
  <c r="R135" i="16"/>
  <c r="J153" i="16" s="1"/>
  <c r="K26" i="91" s="1"/>
  <c r="L26" i="91" s="1"/>
  <c r="J151" i="16"/>
  <c r="K22" i="91" s="1"/>
  <c r="L22" i="91" s="1"/>
  <c r="G42" i="16"/>
  <c r="I41" i="16"/>
  <c r="H41" i="16" s="1"/>
  <c r="E29" i="16"/>
  <c r="F29" i="16" s="1"/>
  <c r="D28" i="16"/>
  <c r="E28" i="16" s="1"/>
  <c r="F28" i="16" s="1"/>
  <c r="D30" i="16"/>
  <c r="E30" i="16" s="1"/>
  <c r="F30" i="16" s="1"/>
  <c r="H139" i="16"/>
  <c r="K149" i="16" s="1"/>
  <c r="K148" i="16"/>
  <c r="D16" i="91" s="1"/>
  <c r="M16" i="91" s="1"/>
  <c r="R137" i="16"/>
  <c r="R138" i="16" s="1"/>
  <c r="L153" i="16" s="1"/>
  <c r="H45" i="16"/>
  <c r="H46" i="16" s="1"/>
  <c r="O299" i="94"/>
  <c r="V308" i="94" s="1"/>
  <c r="J94" i="16"/>
  <c r="I94" i="16" s="1"/>
  <c r="H94" i="16" s="1"/>
  <c r="J92" i="16"/>
  <c r="I92" i="16" s="1"/>
  <c r="H92" i="16" s="1"/>
  <c r="I82" i="16"/>
  <c r="H82" i="16" s="1"/>
  <c r="K164" i="16"/>
  <c r="E53" i="91"/>
  <c r="M51" i="91" s="1"/>
  <c r="J84" i="16"/>
  <c r="I85" i="16"/>
  <c r="H85" i="16" s="1"/>
  <c r="J86" i="16"/>
  <c r="I86" i="16" s="1"/>
  <c r="H86" i="16" s="1"/>
  <c r="I96" i="16"/>
  <c r="H96" i="16" s="1"/>
  <c r="G106" i="16"/>
  <c r="I105" i="16"/>
  <c r="H105" i="16" s="1"/>
  <c r="E102" i="16"/>
  <c r="F102" i="16" s="1"/>
  <c r="I61" i="16"/>
  <c r="H61" i="16" s="1"/>
  <c r="G62" i="16"/>
  <c r="G60" i="16"/>
  <c r="I33" i="16"/>
  <c r="H33" i="16" s="1"/>
  <c r="G34" i="16"/>
  <c r="E34" i="16" s="1"/>
  <c r="F34" i="16" s="1"/>
  <c r="E100" i="16"/>
  <c r="F100" i="16" s="1"/>
  <c r="O300" i="94"/>
  <c r="O301" i="94" s="1"/>
  <c r="X308" i="94" s="1"/>
  <c r="Y308" i="94" s="1"/>
  <c r="J102" i="16"/>
  <c r="I102" i="16" s="1"/>
  <c r="H102" i="16" s="1"/>
  <c r="J100" i="16"/>
  <c r="I100" i="16" s="1"/>
  <c r="H100" i="16" s="1"/>
  <c r="D104" i="16"/>
  <c r="E104" i="16" s="1"/>
  <c r="F104" i="16" s="1"/>
  <c r="I53" i="16"/>
  <c r="H53" i="16" s="1"/>
  <c r="J52" i="16"/>
  <c r="I52" i="16" s="1"/>
  <c r="H52" i="16" s="1"/>
  <c r="J54" i="16"/>
  <c r="I54" i="16" s="1"/>
  <c r="H54" i="16" s="1"/>
  <c r="E61" i="16"/>
  <c r="F61" i="16" s="1"/>
  <c r="S135" i="16"/>
  <c r="J158" i="16" s="1"/>
  <c r="K36" i="91" s="1"/>
  <c r="L36" i="91" s="1"/>
  <c r="Y332" i="94"/>
  <c r="G32" i="16"/>
  <c r="E40" i="16"/>
  <c r="F40" i="16" s="1"/>
  <c r="G36" i="16"/>
  <c r="I37" i="16"/>
  <c r="H37" i="16" s="1"/>
  <c r="G38" i="16"/>
  <c r="I64" i="16"/>
  <c r="H64" i="16" s="1"/>
  <c r="I30" i="16"/>
  <c r="H30" i="16" s="1"/>
  <c r="E82" i="16"/>
  <c r="F82" i="16" s="1"/>
  <c r="O308" i="94"/>
  <c r="P309" i="94" s="1"/>
  <c r="S309" i="94" s="1"/>
  <c r="D200" i="94"/>
  <c r="S299" i="94"/>
  <c r="O312" i="94"/>
  <c r="Q308" i="94"/>
  <c r="Q339" i="94" s="1"/>
  <c r="O313" i="94"/>
  <c r="Q313" i="94" s="1"/>
  <c r="O288" i="94"/>
  <c r="X303" i="94" s="1"/>
  <c r="W325" i="94" s="1"/>
  <c r="W312" i="94"/>
  <c r="X330" i="94"/>
  <c r="N303" i="94"/>
  <c r="W307" i="94" s="1"/>
  <c r="R314" i="94"/>
  <c r="AA301" i="94"/>
  <c r="AE301" i="94" s="1"/>
  <c r="J172" i="94"/>
  <c r="C176" i="94" s="1"/>
  <c r="C178" i="94" s="1"/>
  <c r="C196" i="94"/>
  <c r="P135" i="94"/>
  <c r="P136" i="94"/>
  <c r="P302" i="94"/>
  <c r="P303" i="94" s="1"/>
  <c r="W309" i="94" s="1"/>
  <c r="Y309" i="94" s="1"/>
  <c r="Z309" i="94" s="1"/>
  <c r="G177" i="94"/>
  <c r="X319" i="94"/>
  <c r="S301" i="94"/>
  <c r="Q303" i="94"/>
  <c r="X305" i="94"/>
  <c r="P284" i="94"/>
  <c r="K50" i="94"/>
  <c r="A21" i="93"/>
  <c r="D149" i="16"/>
  <c r="G149" i="16" s="1"/>
  <c r="B150" i="16"/>
  <c r="M155" i="16"/>
  <c r="N57" i="91"/>
  <c r="O57" i="91" s="1"/>
  <c r="M166" i="16"/>
  <c r="L167" i="16"/>
  <c r="L5" i="91"/>
  <c r="D151" i="16"/>
  <c r="G151" i="16" s="1"/>
  <c r="G175" i="16"/>
  <c r="G176" i="16"/>
  <c r="O14" i="91"/>
  <c r="M163" i="16"/>
  <c r="L164" i="16"/>
  <c r="N47" i="91"/>
  <c r="O47" i="91" s="1"/>
  <c r="N139" i="16"/>
  <c r="M130" i="16"/>
  <c r="O139" i="16"/>
  <c r="K156" i="16" s="1"/>
  <c r="K157" i="16"/>
  <c r="M143" i="16"/>
  <c r="D6" i="91"/>
  <c r="M5" i="91" s="1"/>
  <c r="O5" i="91" s="1"/>
  <c r="T135" i="16"/>
  <c r="J159" i="16" s="1"/>
  <c r="K38" i="91" s="1"/>
  <c r="L38" i="91" s="1"/>
  <c r="J157" i="16"/>
  <c r="O137" i="16"/>
  <c r="S137" i="16"/>
  <c r="J138" i="16"/>
  <c r="L154" i="16" s="1"/>
  <c r="K49" i="149" l="1"/>
  <c r="F202" i="149"/>
  <c r="F204" i="149"/>
  <c r="I266" i="149" s="1"/>
  <c r="I285" i="149" s="1"/>
  <c r="L277" i="149" s="1"/>
  <c r="N273" i="149" s="1"/>
  <c r="P270" i="149"/>
  <c r="P269" i="149"/>
  <c r="P475" i="149"/>
  <c r="P476" i="149" s="1"/>
  <c r="W482" i="149" s="1"/>
  <c r="Y482" i="149" s="1"/>
  <c r="Z482" i="149" s="1"/>
  <c r="N272" i="149"/>
  <c r="N270" i="149" s="1"/>
  <c r="D308" i="149" s="1"/>
  <c r="F310" i="149" s="1"/>
  <c r="F201" i="149"/>
  <c r="F200" i="149"/>
  <c r="F240" i="149"/>
  <c r="D241" i="149" s="1"/>
  <c r="E148" i="149"/>
  <c r="I148" i="149" s="1"/>
  <c r="V148" i="149" s="1"/>
  <c r="C71" i="149"/>
  <c r="F71" i="149" s="1"/>
  <c r="F70" i="149" s="1"/>
  <c r="V70" i="149" s="1"/>
  <c r="J184" i="94"/>
  <c r="G236" i="94"/>
  <c r="D183" i="94"/>
  <c r="D181" i="94"/>
  <c r="I84" i="16"/>
  <c r="H84" i="16" s="1"/>
  <c r="N268" i="149"/>
  <c r="N269" i="149"/>
  <c r="R493" i="149"/>
  <c r="S489" i="149"/>
  <c r="F67" i="149"/>
  <c r="E154" i="149"/>
  <c r="I224" i="149"/>
  <c r="N221" i="149"/>
  <c r="N222" i="149" s="1"/>
  <c r="F221" i="149"/>
  <c r="C83" i="149"/>
  <c r="C89" i="149"/>
  <c r="T137" i="16"/>
  <c r="T138" i="16" s="1"/>
  <c r="L159" i="16" s="1"/>
  <c r="M161" i="16"/>
  <c r="E58" i="16"/>
  <c r="F58" i="16" s="1"/>
  <c r="E78" i="16"/>
  <c r="F78" i="16" s="1"/>
  <c r="E76" i="16"/>
  <c r="F76" i="16" s="1"/>
  <c r="P137" i="16"/>
  <c r="I56" i="16"/>
  <c r="H56" i="16" s="1"/>
  <c r="E56" i="16"/>
  <c r="F56" i="16" s="1"/>
  <c r="E44" i="16"/>
  <c r="F44" i="16" s="1"/>
  <c r="B156" i="16"/>
  <c r="E98" i="16"/>
  <c r="F98" i="16" s="1"/>
  <c r="D40" i="91"/>
  <c r="M40" i="91" s="1"/>
  <c r="O40" i="91" s="1"/>
  <c r="M160" i="16"/>
  <c r="E148" i="16"/>
  <c r="G148" i="16" s="1"/>
  <c r="G143" i="16"/>
  <c r="Q137" i="16"/>
  <c r="Q138" i="16" s="1"/>
  <c r="L152" i="16" s="1"/>
  <c r="S131" i="16"/>
  <c r="T131" i="16" s="1"/>
  <c r="Q131" i="16"/>
  <c r="R131" i="16" s="1"/>
  <c r="H62" i="94"/>
  <c r="E228" i="94"/>
  <c r="F180" i="94"/>
  <c r="C227" i="94"/>
  <c r="E230" i="94" s="1"/>
  <c r="H226" i="94"/>
  <c r="Q141" i="94"/>
  <c r="Q140" i="94"/>
  <c r="H63" i="94"/>
  <c r="J63" i="94"/>
  <c r="F63" i="94"/>
  <c r="S144" i="94"/>
  <c r="R144" i="94"/>
  <c r="U144" i="94" s="1"/>
  <c r="Q144" i="94"/>
  <c r="T144" i="94" s="1"/>
  <c r="J62" i="94"/>
  <c r="D223" i="94"/>
  <c r="F62" i="94"/>
  <c r="M236" i="94"/>
  <c r="L162" i="16"/>
  <c r="N44" i="91" s="1"/>
  <c r="O44" i="91" s="1"/>
  <c r="M137" i="16"/>
  <c r="M138" i="16" s="1"/>
  <c r="L150" i="16" s="1"/>
  <c r="E24" i="16"/>
  <c r="F24" i="16" s="1"/>
  <c r="I24" i="16"/>
  <c r="H24" i="16" s="1"/>
  <c r="B159" i="16"/>
  <c r="D159" i="16" s="1"/>
  <c r="I26" i="16"/>
  <c r="H26" i="16" s="1"/>
  <c r="B161" i="16"/>
  <c r="D161" i="16" s="1"/>
  <c r="I98" i="16"/>
  <c r="H98" i="16" s="1"/>
  <c r="Y307" i="94"/>
  <c r="H227" i="94"/>
  <c r="J228" i="94" s="1"/>
  <c r="P299" i="94"/>
  <c r="V309" i="94" s="1"/>
  <c r="U308" i="94"/>
  <c r="Q300" i="94"/>
  <c r="Q301" i="94" s="1"/>
  <c r="X311" i="94" s="1"/>
  <c r="Q299" i="94"/>
  <c r="V311" i="94" s="1"/>
  <c r="R299" i="94"/>
  <c r="V310" i="94" s="1"/>
  <c r="I38" i="16"/>
  <c r="H38" i="16" s="1"/>
  <c r="I60" i="16"/>
  <c r="H60" i="16" s="1"/>
  <c r="I36" i="16"/>
  <c r="H36" i="16" s="1"/>
  <c r="E38" i="16"/>
  <c r="F38" i="16" s="1"/>
  <c r="I62" i="16"/>
  <c r="H62" i="16" s="1"/>
  <c r="E68" i="16"/>
  <c r="F68" i="16" s="1"/>
  <c r="I68" i="16"/>
  <c r="H68" i="16" s="1"/>
  <c r="I32" i="16"/>
  <c r="H32" i="16" s="1"/>
  <c r="I42" i="16"/>
  <c r="H42" i="16" s="1"/>
  <c r="E42" i="16"/>
  <c r="F42" i="16" s="1"/>
  <c r="B162" i="16"/>
  <c r="D162" i="16" s="1"/>
  <c r="E60" i="16"/>
  <c r="F60" i="16" s="1"/>
  <c r="I70" i="16"/>
  <c r="H70" i="16" s="1"/>
  <c r="E70" i="16"/>
  <c r="F70" i="16" s="1"/>
  <c r="E62" i="16"/>
  <c r="F62" i="16" s="1"/>
  <c r="D18" i="91"/>
  <c r="M18" i="91" s="1"/>
  <c r="O18" i="91" s="1"/>
  <c r="M149" i="16"/>
  <c r="E106" i="16"/>
  <c r="F106" i="16" s="1"/>
  <c r="I34" i="16"/>
  <c r="H34" i="16" s="1"/>
  <c r="E36" i="16"/>
  <c r="F36" i="16" s="1"/>
  <c r="E32" i="16"/>
  <c r="F32" i="16" s="1"/>
  <c r="I106" i="16"/>
  <c r="H106" i="16" s="1"/>
  <c r="R310" i="94"/>
  <c r="S310" i="94" s="1"/>
  <c r="V352" i="94" s="1"/>
  <c r="O339" i="94"/>
  <c r="S340" i="94" s="1"/>
  <c r="V312" i="94"/>
  <c r="V299" i="94"/>
  <c r="W326" i="94"/>
  <c r="Y299" i="94"/>
  <c r="Z326" i="94"/>
  <c r="T299" i="94"/>
  <c r="D201" i="94"/>
  <c r="O314" i="94"/>
  <c r="Q314" i="94" s="1"/>
  <c r="D202" i="94"/>
  <c r="T301" i="94"/>
  <c r="T302" i="94" s="1"/>
  <c r="X313" i="94" s="1"/>
  <c r="Y313" i="94" s="1"/>
  <c r="U301" i="94"/>
  <c r="X318" i="94" s="1"/>
  <c r="Q288" i="94"/>
  <c r="X301" i="94" s="1"/>
  <c r="P307" i="94"/>
  <c r="P312" i="94" s="1"/>
  <c r="Y330" i="94"/>
  <c r="X331" i="94"/>
  <c r="Y331" i="94" s="1"/>
  <c r="AA302" i="94"/>
  <c r="X321" i="94" s="1"/>
  <c r="Y321" i="94" s="1"/>
  <c r="J217" i="94"/>
  <c r="J100" i="94"/>
  <c r="K100" i="94" s="1"/>
  <c r="D204" i="94"/>
  <c r="E193" i="94"/>
  <c r="H193" i="94" s="1"/>
  <c r="N307" i="94"/>
  <c r="S295" i="94"/>
  <c r="X327" i="94" s="1"/>
  <c r="Y327" i="94" s="1"/>
  <c r="W311" i="94"/>
  <c r="V303" i="94"/>
  <c r="S302" i="94"/>
  <c r="X312" i="94" s="1"/>
  <c r="Y301" i="94"/>
  <c r="AE302" i="94"/>
  <c r="X323" i="94" s="1"/>
  <c r="Y323" i="94" s="1"/>
  <c r="M153" i="16"/>
  <c r="N26" i="91"/>
  <c r="O26" i="91" s="1"/>
  <c r="O148" i="16"/>
  <c r="N16" i="91"/>
  <c r="O16" i="91" s="1"/>
  <c r="M148" i="16"/>
  <c r="B158" i="16"/>
  <c r="B157" i="16"/>
  <c r="O154" i="16"/>
  <c r="N28" i="91"/>
  <c r="O28" i="91" s="1"/>
  <c r="M154" i="16"/>
  <c r="N154" i="16" s="1"/>
  <c r="M139" i="16"/>
  <c r="K150" i="16" s="1"/>
  <c r="K151" i="16"/>
  <c r="P138" i="16"/>
  <c r="L157" i="16" s="1"/>
  <c r="D34" i="91"/>
  <c r="M34" i="91" s="1"/>
  <c r="D32" i="91"/>
  <c r="M32" i="91" s="1"/>
  <c r="S138" i="16"/>
  <c r="L158" i="16" s="1"/>
  <c r="D150" i="16"/>
  <c r="G150" i="16" s="1"/>
  <c r="O138" i="16"/>
  <c r="L156" i="16" s="1"/>
  <c r="K34" i="91"/>
  <c r="B160" i="16"/>
  <c r="B164" i="16"/>
  <c r="N51" i="91"/>
  <c r="O51" i="91" s="1"/>
  <c r="L165" i="16"/>
  <c r="M164" i="16"/>
  <c r="N61" i="91"/>
  <c r="O61" i="91" s="1"/>
  <c r="N70" i="91"/>
  <c r="O70" i="91" s="1"/>
  <c r="M167" i="16"/>
  <c r="M162" i="16"/>
  <c r="B163" i="16" s="1"/>
  <c r="K148" i="149" l="1"/>
  <c r="H100" i="149"/>
  <c r="L281" i="149"/>
  <c r="E287" i="149" s="1"/>
  <c r="E298" i="149" s="1"/>
  <c r="E299" i="149" s="1"/>
  <c r="E300" i="149" s="1"/>
  <c r="D304" i="149" s="1"/>
  <c r="G244" i="149"/>
  <c r="P268" i="149"/>
  <c r="N274" i="149" s="1"/>
  <c r="E286" i="149" s="1"/>
  <c r="F72" i="149"/>
  <c r="V72" i="149" s="1"/>
  <c r="V71" i="149"/>
  <c r="F90" i="149"/>
  <c r="V90" i="149" s="1"/>
  <c r="F88" i="149"/>
  <c r="F84" i="149"/>
  <c r="F82" i="149"/>
  <c r="V82" i="149" s="1"/>
  <c r="C224" i="149"/>
  <c r="C227" i="149" s="1"/>
  <c r="C229" i="149" s="1"/>
  <c r="C234" i="149" s="1"/>
  <c r="F222" i="149"/>
  <c r="C225" i="149" s="1"/>
  <c r="E245" i="149"/>
  <c r="F248" i="149" s="1"/>
  <c r="C245" i="149"/>
  <c r="C248" i="149" s="1"/>
  <c r="E244" i="149"/>
  <c r="F247" i="149" s="1"/>
  <c r="C244" i="149"/>
  <c r="C247" i="149" s="1"/>
  <c r="D249" i="149" s="1"/>
  <c r="C250" i="149" s="1"/>
  <c r="F250" i="149" s="1"/>
  <c r="C254" i="149" s="1"/>
  <c r="E241" i="149"/>
  <c r="D257" i="149" s="1"/>
  <c r="V154" i="149"/>
  <c r="G154" i="149"/>
  <c r="F66" i="149"/>
  <c r="V66" i="149" s="1"/>
  <c r="F68" i="149"/>
  <c r="H99" i="149"/>
  <c r="V67" i="149"/>
  <c r="D156" i="16"/>
  <c r="G174" i="16"/>
  <c r="G147" i="16"/>
  <c r="Q142" i="94"/>
  <c r="F64" i="94"/>
  <c r="J65" i="94"/>
  <c r="J64" i="94"/>
  <c r="N148" i="16"/>
  <c r="Z299" i="94"/>
  <c r="V313" i="94"/>
  <c r="U299" i="94"/>
  <c r="V318" i="94" s="1"/>
  <c r="W299" i="94"/>
  <c r="V314" i="94"/>
  <c r="AC299" i="94"/>
  <c r="V316" i="94" s="1"/>
  <c r="AA299" i="94"/>
  <c r="V319" i="94"/>
  <c r="Q307" i="94"/>
  <c r="Q312" i="94" s="1"/>
  <c r="U303" i="94"/>
  <c r="W318" i="94" s="1"/>
  <c r="Y318" i="94" s="1"/>
  <c r="Z301" i="94"/>
  <c r="Z302" i="94" s="1"/>
  <c r="X315" i="94" s="1"/>
  <c r="Y315" i="94" s="1"/>
  <c r="W301" i="94"/>
  <c r="W302" i="94" s="1"/>
  <c r="X320" i="94" s="1"/>
  <c r="AA319" i="94" s="1"/>
  <c r="AD301" i="94"/>
  <c r="AD302" i="94" s="1"/>
  <c r="X317" i="94" s="1"/>
  <c r="Y317" i="94" s="1"/>
  <c r="I180" i="94"/>
  <c r="L180" i="94" s="1"/>
  <c r="J185" i="94" s="1"/>
  <c r="J186" i="94" s="1"/>
  <c r="F188" i="94" s="1"/>
  <c r="L188" i="94" s="1"/>
  <c r="E190" i="94" s="1"/>
  <c r="D102" i="94"/>
  <c r="F102" i="94"/>
  <c r="F103" i="94"/>
  <c r="D103" i="94"/>
  <c r="X325" i="94"/>
  <c r="Y325" i="94" s="1"/>
  <c r="D194" i="94"/>
  <c r="F65" i="94"/>
  <c r="H65" i="94"/>
  <c r="H64" i="94"/>
  <c r="AC301" i="94"/>
  <c r="Y302" i="94"/>
  <c r="X314" i="94" s="1"/>
  <c r="AA312" i="94"/>
  <c r="Y312" i="94"/>
  <c r="Z312" i="94" s="1"/>
  <c r="W303" i="94"/>
  <c r="W320" i="94" s="1"/>
  <c r="W319" i="94"/>
  <c r="Y319" i="94" s="1"/>
  <c r="Y311" i="94"/>
  <c r="U311" i="94"/>
  <c r="P308" i="94"/>
  <c r="N315" i="94"/>
  <c r="N312" i="94"/>
  <c r="N313" i="94"/>
  <c r="N38" i="91"/>
  <c r="O38" i="91" s="1"/>
  <c r="M159" i="16"/>
  <c r="N34" i="91"/>
  <c r="O34" i="91" s="1"/>
  <c r="M157" i="16"/>
  <c r="M152" i="16"/>
  <c r="N24" i="91"/>
  <c r="O24" i="91" s="1"/>
  <c r="N20" i="91"/>
  <c r="O150" i="16"/>
  <c r="D157" i="16"/>
  <c r="D22" i="91"/>
  <c r="M22" i="91" s="1"/>
  <c r="O22" i="91" s="1"/>
  <c r="M151" i="16"/>
  <c r="D20" i="91"/>
  <c r="M20" i="91" s="1"/>
  <c r="M150" i="16"/>
  <c r="M158" i="16"/>
  <c r="N36" i="91"/>
  <c r="O36" i="91" s="1"/>
  <c r="D163" i="16"/>
  <c r="O156" i="16"/>
  <c r="N32" i="91"/>
  <c r="O32" i="91" s="1"/>
  <c r="N55" i="91"/>
  <c r="O55" i="91" s="1"/>
  <c r="M165" i="16"/>
  <c r="M156" i="16"/>
  <c r="D158" i="16"/>
  <c r="L34" i="91"/>
  <c r="R5" i="91"/>
  <c r="S5" i="91" s="1"/>
  <c r="R14" i="91"/>
  <c r="S14" i="91" s="1"/>
  <c r="R8" i="91"/>
  <c r="S8" i="91" s="1"/>
  <c r="R10" i="91"/>
  <c r="S10" i="91" s="1"/>
  <c r="R12" i="91"/>
  <c r="S12" i="91" s="1"/>
  <c r="R16" i="91"/>
  <c r="S16" i="91" s="1"/>
  <c r="D164" i="16"/>
  <c r="D160" i="16"/>
  <c r="H101" i="149" l="1"/>
  <c r="G108" i="149" s="1"/>
  <c r="F67" i="94"/>
  <c r="F70" i="94" s="1"/>
  <c r="F91" i="94"/>
  <c r="E291" i="149"/>
  <c r="E292" i="149" s="1"/>
  <c r="E290" i="149"/>
  <c r="C228" i="149"/>
  <c r="C230" i="149" s="1"/>
  <c r="C235" i="149" s="1"/>
  <c r="V68" i="149"/>
  <c r="H68" i="149"/>
  <c r="F83" i="149"/>
  <c r="V83" i="149" s="1"/>
  <c r="V84" i="149"/>
  <c r="F89" i="149"/>
  <c r="V89" i="149" s="1"/>
  <c r="V88" i="149"/>
  <c r="C258" i="149"/>
  <c r="F258" i="149" s="1"/>
  <c r="C262" i="149" s="1"/>
  <c r="G152" i="16"/>
  <c r="F104" i="94"/>
  <c r="J67" i="94"/>
  <c r="J70" i="94" s="1"/>
  <c r="N156" i="16"/>
  <c r="E156" i="16"/>
  <c r="F156" i="16" s="1"/>
  <c r="S312" i="94"/>
  <c r="AE299" i="94"/>
  <c r="V323" i="94" s="1"/>
  <c r="V321" i="94"/>
  <c r="V320" i="94"/>
  <c r="X299" i="94"/>
  <c r="V325" i="94" s="1"/>
  <c r="AB299" i="94"/>
  <c r="V315" i="94"/>
  <c r="AD299" i="94"/>
  <c r="V317" i="94" s="1"/>
  <c r="S307" i="94"/>
  <c r="S338" i="94" s="1"/>
  <c r="AB301" i="94"/>
  <c r="AB302" i="94" s="1"/>
  <c r="X322" i="94" s="1"/>
  <c r="Y322" i="94" s="1"/>
  <c r="Z321" i="94" s="1"/>
  <c r="Y320" i="94"/>
  <c r="Z319" i="94" s="1"/>
  <c r="AF301" i="94"/>
  <c r="AF302" i="94" s="1"/>
  <c r="X324" i="94" s="1"/>
  <c r="Y324" i="94" s="1"/>
  <c r="X326" i="94"/>
  <c r="Y326" i="94" s="1"/>
  <c r="N314" i="94"/>
  <c r="P313" i="94"/>
  <c r="S313" i="94" s="1"/>
  <c r="H67" i="94"/>
  <c r="H72" i="94" s="1"/>
  <c r="S308" i="94"/>
  <c r="P339" i="94"/>
  <c r="S339" i="94" s="1"/>
  <c r="P315" i="94"/>
  <c r="S315" i="94" s="1"/>
  <c r="N91" i="94"/>
  <c r="N92" i="94" s="1"/>
  <c r="Y314" i="94"/>
  <c r="AA314" i="94"/>
  <c r="AC302" i="94"/>
  <c r="X316" i="94" s="1"/>
  <c r="Y316" i="94" s="1"/>
  <c r="O20" i="91"/>
  <c r="T5" i="91"/>
  <c r="N150" i="16"/>
  <c r="G123" i="149" l="1"/>
  <c r="G122" i="149"/>
  <c r="G111" i="149"/>
  <c r="M111" i="149" s="1"/>
  <c r="I122" i="149"/>
  <c r="N122" i="149" s="1"/>
  <c r="G116" i="149"/>
  <c r="J116" i="149" s="1"/>
  <c r="G115" i="149"/>
  <c r="N115" i="149" s="1"/>
  <c r="G121" i="149"/>
  <c r="G112" i="149"/>
  <c r="M112" i="149" s="1"/>
  <c r="I121" i="149"/>
  <c r="G109" i="149"/>
  <c r="M109" i="149" s="1"/>
  <c r="G119" i="149"/>
  <c r="G107" i="149"/>
  <c r="J107" i="149" s="1"/>
  <c r="I125" i="149"/>
  <c r="G118" i="149"/>
  <c r="J118" i="149" s="1"/>
  <c r="G106" i="149"/>
  <c r="J106" i="149" s="1"/>
  <c r="G125" i="149"/>
  <c r="G117" i="149"/>
  <c r="N117" i="149" s="1"/>
  <c r="G124" i="149"/>
  <c r="I120" i="149"/>
  <c r="M120" i="149" s="1"/>
  <c r="G114" i="149"/>
  <c r="N114" i="149" s="1"/>
  <c r="G105" i="149"/>
  <c r="N105" i="149" s="1"/>
  <c r="I124" i="149"/>
  <c r="N124" i="149" s="1"/>
  <c r="G120" i="149"/>
  <c r="G113" i="149"/>
  <c r="F133" i="149" s="1"/>
  <c r="G104" i="149"/>
  <c r="J104" i="149" s="1"/>
  <c r="I123" i="149"/>
  <c r="I119" i="149"/>
  <c r="M119" i="149" s="1"/>
  <c r="G110" i="149"/>
  <c r="N110" i="149" s="1"/>
  <c r="J71" i="94"/>
  <c r="J72" i="94"/>
  <c r="H71" i="94"/>
  <c r="F71" i="94"/>
  <c r="F72" i="94"/>
  <c r="H70" i="94"/>
  <c r="N108" i="149"/>
  <c r="M108" i="149"/>
  <c r="J108" i="149"/>
  <c r="D296" i="149"/>
  <c r="F105" i="94"/>
  <c r="C106" i="94"/>
  <c r="C105" i="94"/>
  <c r="F106" i="94"/>
  <c r="F92" i="94"/>
  <c r="C94" i="94" s="1"/>
  <c r="C93" i="94"/>
  <c r="J76" i="94"/>
  <c r="J69" i="94"/>
  <c r="J73" i="94"/>
  <c r="J74" i="94"/>
  <c r="J75" i="94"/>
  <c r="F118" i="94"/>
  <c r="F76" i="94"/>
  <c r="N136" i="94" s="1"/>
  <c r="F75" i="94"/>
  <c r="H141" i="94" s="1"/>
  <c r="R134" i="94" s="1"/>
  <c r="F74" i="94"/>
  <c r="H132" i="94" s="1"/>
  <c r="F73" i="94"/>
  <c r="F69" i="94"/>
  <c r="D111" i="94" s="1"/>
  <c r="H75" i="94"/>
  <c r="H74" i="94"/>
  <c r="H69" i="94"/>
  <c r="H76" i="94"/>
  <c r="H73" i="94"/>
  <c r="V322" i="94"/>
  <c r="AF299" i="94"/>
  <c r="V324" i="94" s="1"/>
  <c r="S311" i="94"/>
  <c r="AA321" i="94"/>
  <c r="S341" i="94"/>
  <c r="U341" i="94" s="1"/>
  <c r="P314" i="94"/>
  <c r="S314" i="94" s="1"/>
  <c r="Z314" i="94"/>
  <c r="J112" i="149" l="1"/>
  <c r="N120" i="149"/>
  <c r="K119" i="149"/>
  <c r="N116" i="149"/>
  <c r="K120" i="149"/>
  <c r="N111" i="149"/>
  <c r="I111" i="149"/>
  <c r="M105" i="149"/>
  <c r="J111" i="149"/>
  <c r="N119" i="149"/>
  <c r="J117" i="149"/>
  <c r="N121" i="149"/>
  <c r="N112" i="149"/>
  <c r="J113" i="149"/>
  <c r="M122" i="149"/>
  <c r="K122" i="149"/>
  <c r="M116" i="149"/>
  <c r="N109" i="149"/>
  <c r="M121" i="149"/>
  <c r="I105" i="149"/>
  <c r="M115" i="149"/>
  <c r="I114" i="149"/>
  <c r="N106" i="149"/>
  <c r="M106" i="149"/>
  <c r="J110" i="149"/>
  <c r="N118" i="149"/>
  <c r="I110" i="149"/>
  <c r="I115" i="149"/>
  <c r="M124" i="149"/>
  <c r="I116" i="149"/>
  <c r="K121" i="149"/>
  <c r="J115" i="149"/>
  <c r="M117" i="149"/>
  <c r="M113" i="149"/>
  <c r="I112" i="149"/>
  <c r="M104" i="149"/>
  <c r="J114" i="149"/>
  <c r="N113" i="149"/>
  <c r="I108" i="149"/>
  <c r="M107" i="149"/>
  <c r="K124" i="149"/>
  <c r="M125" i="149"/>
  <c r="I106" i="149"/>
  <c r="N125" i="149"/>
  <c r="K123" i="149"/>
  <c r="I117" i="149"/>
  <c r="I118" i="149"/>
  <c r="N107" i="149"/>
  <c r="K125" i="149"/>
  <c r="I104" i="149"/>
  <c r="J105" i="149"/>
  <c r="M118" i="149"/>
  <c r="I107" i="149"/>
  <c r="J109" i="149"/>
  <c r="I113" i="149"/>
  <c r="I109" i="149"/>
  <c r="M114" i="149"/>
  <c r="M123" i="149"/>
  <c r="N123" i="149"/>
  <c r="M110" i="149"/>
  <c r="N324" i="94"/>
  <c r="P324" i="94" s="1"/>
  <c r="D96" i="94"/>
  <c r="G96" i="94" s="1"/>
  <c r="J96" i="94" s="1"/>
  <c r="N134" i="94"/>
  <c r="D203" i="94"/>
  <c r="C205" i="94" s="1"/>
  <c r="C120" i="94"/>
  <c r="C119" i="94"/>
  <c r="F119" i="94"/>
  <c r="F120" i="94" s="1"/>
  <c r="H151" i="94"/>
  <c r="R133" i="94" s="1"/>
  <c r="E191" i="94"/>
  <c r="E197" i="94" s="1"/>
  <c r="N320" i="94"/>
  <c r="P320" i="94" s="1"/>
  <c r="S316" i="94"/>
  <c r="N321" i="94"/>
  <c r="P321" i="94" s="1"/>
  <c r="N322" i="94"/>
  <c r="P322" i="94" s="1"/>
  <c r="N328" i="94"/>
  <c r="P328" i="94" s="1"/>
  <c r="N325" i="94"/>
  <c r="P325" i="94" s="1"/>
  <c r="N326" i="94"/>
  <c r="P326" i="94" s="1"/>
  <c r="N327" i="94"/>
  <c r="P327" i="94" s="1"/>
  <c r="N323" i="94"/>
  <c r="P323" i="94" s="1"/>
  <c r="N135" i="94"/>
  <c r="D107" i="94"/>
  <c r="W107" i="149" l="1"/>
  <c r="E131" i="149" s="1"/>
  <c r="H137" i="149" s="1"/>
  <c r="G139" i="149" s="1"/>
  <c r="Q104" i="149"/>
  <c r="P104" i="149"/>
  <c r="P110" i="149"/>
  <c r="J131" i="149"/>
  <c r="V131" i="149" s="1"/>
  <c r="E127" i="149"/>
  <c r="L127" i="149" s="1"/>
  <c r="D233" i="94"/>
  <c r="O232" i="94"/>
  <c r="M232" i="94"/>
  <c r="R137" i="94"/>
  <c r="N141" i="94" s="1"/>
  <c r="E153" i="94" s="1"/>
  <c r="T139" i="94"/>
  <c r="E97" i="94"/>
  <c r="M98" i="94" s="1"/>
  <c r="G111" i="94"/>
  <c r="J111" i="94" s="1"/>
  <c r="E112" i="94" s="1"/>
  <c r="M113" i="94" s="1"/>
  <c r="G107" i="94"/>
  <c r="J107" i="94" s="1"/>
  <c r="E108" i="94" s="1"/>
  <c r="M109" i="94" s="1"/>
  <c r="E205" i="94"/>
  <c r="D206" i="94"/>
  <c r="D209" i="94" s="1"/>
  <c r="D210" i="94" s="1"/>
  <c r="H210" i="94" s="1"/>
  <c r="N139" i="94"/>
  <c r="D121" i="94"/>
  <c r="N140" i="94"/>
  <c r="E152" i="94" s="1"/>
  <c r="E156" i="94" s="1"/>
  <c r="Q320" i="94"/>
  <c r="R320" i="94" s="1"/>
  <c r="V139" i="149" l="1"/>
  <c r="H139" i="149"/>
  <c r="M233" i="94"/>
  <c r="N232" i="94"/>
  <c r="C125" i="94"/>
  <c r="F125" i="94" s="1"/>
  <c r="I125" i="94" s="1"/>
  <c r="G121" i="94"/>
  <c r="J121" i="94" s="1"/>
  <c r="E122" i="94" s="1"/>
  <c r="M123" i="94" s="1"/>
  <c r="E157" i="94"/>
  <c r="E158" i="94" s="1"/>
  <c r="D159" i="94" s="1"/>
  <c r="N164" i="94" s="1"/>
  <c r="T140" i="94"/>
  <c r="N144" i="94" s="1"/>
  <c r="T141" i="94"/>
  <c r="D198" i="94"/>
  <c r="H198" i="94" s="1"/>
  <c r="E126" i="94" l="1"/>
  <c r="D128" i="94" s="1"/>
  <c r="M128" i="94" s="1"/>
  <c r="N146" i="94"/>
  <c r="V144" i="94"/>
  <c r="O146" i="94"/>
  <c r="O151" i="94" s="1"/>
  <c r="E167" i="94" s="1"/>
  <c r="M168" i="94" s="1"/>
  <c r="P146" i="94"/>
  <c r="O149" i="94" s="1"/>
  <c r="Q149" i="94" s="1"/>
  <c r="Q146" i="94" l="1"/>
  <c r="O150" i="94" s="1"/>
  <c r="M127" i="94"/>
  <c r="Q150" i="94" l="1"/>
  <c r="E160" i="94"/>
  <c r="E161" i="94" s="1"/>
  <c r="E162" i="94" s="1"/>
  <c r="D163" i="94" s="1"/>
  <c r="D165" i="94" l="1"/>
  <c r="M165" i="94" s="1"/>
  <c r="O164" i="94"/>
  <c r="M164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TieuMinhHieu</author>
    <author>Tieu Minh Hieu</author>
    <author>MinhHieu</author>
  </authors>
  <commentList>
    <comment ref="M13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N13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O134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P13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Q13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R134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S13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T134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D136" authorId="2" shapeId="0" xr:uid="{00000000-0006-0000-0000-000009000000}">
      <text>
        <r>
          <rPr>
            <b/>
            <sz val="8"/>
            <color indexed="81"/>
            <rFont val="Tahoma"/>
            <family val="2"/>
          </rPr>
          <t>MinhHieu:</t>
        </r>
        <r>
          <rPr>
            <sz val="8"/>
            <color indexed="81"/>
            <rFont val="Tahoma"/>
            <family val="2"/>
          </rPr>
          <t xml:space="preserve">
So Thanh dam bi cat</t>
        </r>
      </text>
    </comment>
    <comment ref="M139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Phía ngoai
</t>
        </r>
      </text>
    </comment>
    <comment ref="N139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O139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P139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Q139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R139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S139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T139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TieuMinhHieu</author>
    <author>Tieu Minh Hieu</author>
  </authors>
  <commentList>
    <comment ref="N9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O9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N98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O98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Hieu Tieu Minh</author>
    <author>TieuMinhHieu</author>
    <author>Tieu Minh Hieu</author>
    <author>MinhHieu</author>
  </authors>
  <commentList>
    <comment ref="E73" authorId="0" shapeId="0" xr:uid="{1497D696-9C83-4772-8E41-74E5E26FE8CD}">
      <text>
        <r>
          <rPr>
            <b/>
            <sz val="8"/>
            <color indexed="81"/>
            <rFont val="Tahoma"/>
            <family val="2"/>
          </rPr>
          <t>Hieu Tieu Minh:</t>
        </r>
        <r>
          <rPr>
            <sz val="8"/>
            <color indexed="81"/>
            <rFont val="Tahoma"/>
            <family val="2"/>
          </rPr>
          <t xml:space="preserve">
Kiểm tra lớp đfất yếu dưới đáy móng</t>
        </r>
      </text>
    </comment>
    <comment ref="Y471" authorId="1" shapeId="0" xr:uid="{CEA59DEC-808D-4EF0-A18D-432868590194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Z471" authorId="1" shapeId="0" xr:uid="{F4E6F8BC-AAA0-4097-9AF4-F109C9374A64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A471" authorId="1" shapeId="0" xr:uid="{2682DBDE-908F-4AC9-9EF3-9F78F86E2BC6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AB471" authorId="1" shapeId="0" xr:uid="{B2CFC654-9194-4DA1-9C68-F5217961CDD8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C471" authorId="1" shapeId="0" xr:uid="{9EA17F01-EF28-48CB-A5E7-098C26A947A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AD471" authorId="2" shapeId="0" xr:uid="{4630E02B-4D48-49D7-9F41-03859B379938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AE471" authorId="1" shapeId="0" xr:uid="{12676A5C-BCED-4CA2-B25A-8949CD2CCCCC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AF471" authorId="2" shapeId="0" xr:uid="{A724015D-1E7C-47B7-9BC0-A077E8B8805C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P473" authorId="3" shapeId="0" xr:uid="{CA3A9526-5AFA-4E6D-89E4-796FBA290203}">
      <text>
        <r>
          <rPr>
            <b/>
            <sz val="8"/>
            <color indexed="81"/>
            <rFont val="Tahoma"/>
            <family val="2"/>
          </rPr>
          <t>MinhHieu:</t>
        </r>
        <r>
          <rPr>
            <sz val="8"/>
            <color indexed="81"/>
            <rFont val="Tahoma"/>
            <family val="2"/>
          </rPr>
          <t xml:space="preserve">
So Thanh dam bi cat</t>
        </r>
      </text>
    </comment>
    <comment ref="Y476" authorId="1" shapeId="0" xr:uid="{B43B6C3D-836D-42F8-9F2B-5ED8742AB599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Phía ngoai
</t>
        </r>
      </text>
    </comment>
    <comment ref="Z476" authorId="1" shapeId="0" xr:uid="{1C316C1E-69BE-4855-BE43-9346D2D6C9D3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A476" authorId="1" shapeId="0" xr:uid="{1E56D416-37BA-44D7-9930-1F3DFE16E194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AB476" authorId="1" shapeId="0" xr:uid="{52B7784F-769F-4476-AC4F-5D627F5CBFBE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C476" authorId="1" shapeId="0" xr:uid="{F79AEDD0-53CF-435A-A70B-9157380FB751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AD476" authorId="1" shapeId="0" xr:uid="{2B57F4EF-5B2B-4BCC-A03E-360A3C493C8B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E476" authorId="1" shapeId="0" xr:uid="{5191BACB-5D97-48BA-B0A8-5FB13E0F775A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AF476" authorId="1" shapeId="0" xr:uid="{CA2D1487-BBDE-4816-8E2B-0F66D27E5C3B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TieuMinhHieu</author>
    <author>Tieu Minh Hieu</author>
    <author>MinhHieu</author>
  </authors>
  <commentList>
    <comment ref="Y298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Z298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A298" authorId="0" shapeId="0" xr:uid="{00000000-0006-0000-0A00-000003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AB298" authorId="0" shapeId="0" xr:uid="{00000000-0006-0000-0A00-000004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C298" authorId="0" shapeId="0" xr:uid="{00000000-0006-0000-0A00-000005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AD298" authorId="1" shapeId="0" xr:uid="{00000000-0006-0000-0A00-000006000000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AE298" authorId="0" shapeId="0" xr:uid="{00000000-0006-0000-0A00-000007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AF298" authorId="1" shapeId="0" xr:uid="{00000000-0006-0000-0A00-000008000000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P300" authorId="2" shapeId="0" xr:uid="{00000000-0006-0000-0A00-000009000000}">
      <text>
        <r>
          <rPr>
            <b/>
            <sz val="8"/>
            <color indexed="81"/>
            <rFont val="Tahoma"/>
            <family val="2"/>
          </rPr>
          <t>MinhHieu:</t>
        </r>
        <r>
          <rPr>
            <sz val="8"/>
            <color indexed="81"/>
            <rFont val="Tahoma"/>
            <family val="2"/>
          </rPr>
          <t xml:space="preserve">
So Thanh dam bi cat</t>
        </r>
      </text>
    </comment>
    <comment ref="Y303" authorId="0" shapeId="0" xr:uid="{00000000-0006-0000-0A00-00000A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Phía ngoai
</t>
        </r>
      </text>
    </comment>
    <comment ref="Z303" authorId="0" shapeId="0" xr:uid="{00000000-0006-0000-0A00-00000B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A303" authorId="0" shapeId="0" xr:uid="{00000000-0006-0000-0A00-00000C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AB303" authorId="0" shapeId="0" xr:uid="{00000000-0006-0000-0A00-00000D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C303" authorId="0" shapeId="0" xr:uid="{00000000-0006-0000-0A00-00000E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AD303" authorId="0" shapeId="0" xr:uid="{00000000-0006-0000-0A00-00000F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E303" authorId="0" shapeId="0" xr:uid="{00000000-0006-0000-0A00-000010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AF303" authorId="0" shapeId="0" xr:uid="{00000000-0006-0000-0A00-0000110000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</author>
    <author>TieuMinhHieu</author>
    <author>Tieu Minh Hieu</author>
    <author>MinhHieu</author>
  </authors>
  <commentList>
    <comment ref="K26" authorId="0" shapeId="0" xr:uid="{F74BCFAE-1A4B-4E5C-82A3-2EC046262AE6}">
      <text>
        <r>
          <rPr>
            <b/>
            <sz val="9"/>
            <color indexed="81"/>
            <rFont val="Tahoma"/>
            <family val="2"/>
          </rPr>
          <t>X:</t>
        </r>
        <r>
          <rPr>
            <sz val="9"/>
            <color indexed="81"/>
            <rFont val="Tahoma"/>
            <family val="2"/>
          </rPr>
          <t xml:space="preserve">
tùy trường hợp móng có thể có đệm cát hoặc không có đệm cát
</t>
        </r>
      </text>
    </comment>
    <comment ref="K28" authorId="0" shapeId="0" xr:uid="{3F417EF2-4C9B-45BD-B6E7-9FF9D0BA17CE}">
      <text>
        <r>
          <rPr>
            <b/>
            <sz val="9"/>
            <color indexed="81"/>
            <rFont val="Tahoma"/>
            <family val="2"/>
          </rPr>
          <t>X:</t>
        </r>
        <r>
          <rPr>
            <sz val="9"/>
            <color indexed="81"/>
            <rFont val="Tahoma"/>
            <family val="2"/>
          </rPr>
          <t xml:space="preserve">
nếu 0.3: dim bê tông lót 100, dim thêm tới mép hố đào là 200
nếu 0.6: dim bê tông lót 100, dim thêm tới mép hố đào là 500</t>
        </r>
      </text>
    </comment>
    <comment ref="Y298" authorId="1" shapeId="0" xr:uid="{9A154DF4-9C72-4D49-A0C8-888401196573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Z298" authorId="1" shapeId="0" xr:uid="{0532947C-ED75-491C-9B75-9E74F2A91A16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A298" authorId="1" shapeId="0" xr:uid="{1EB19B1E-EA1F-4771-8DB0-45E026C952AD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AB298" authorId="1" shapeId="0" xr:uid="{20B495E1-608B-4B6D-946D-68D956A2C357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C298" authorId="1" shapeId="0" xr:uid="{FFC737D3-9A56-4342-B9AB-EF985C6B222C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AD298" authorId="2" shapeId="0" xr:uid="{DEDB5BC9-CAF1-4C2D-8B7A-43AD70D4658F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AE298" authorId="1" shapeId="0" xr:uid="{AA1C35D5-E911-4F7E-9359-32856D15C3BB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Tang cuong phia ngoai
</t>
        </r>
      </text>
    </comment>
    <comment ref="AF298" authorId="2" shapeId="0" xr:uid="{53A1E339-2EE6-4690-AE47-E49C4C893C57}">
      <text>
        <r>
          <rPr>
            <b/>
            <sz val="8"/>
            <color indexed="81"/>
            <rFont val="Tahoma"/>
            <family val="2"/>
          </rPr>
          <t>Tieu Minh Hieu:</t>
        </r>
        <r>
          <rPr>
            <sz val="8"/>
            <color indexed="81"/>
            <rFont val="Tahoma"/>
            <family val="2"/>
          </rPr>
          <t xml:space="preserve">
Chỉ tăng cường cho đoạn giữa phuong canh dai
</t>
        </r>
      </text>
    </comment>
    <comment ref="P300" authorId="3" shapeId="0" xr:uid="{C0228266-1EF2-43B4-A0D6-DEFD615E4405}">
      <text>
        <r>
          <rPr>
            <b/>
            <sz val="8"/>
            <color indexed="81"/>
            <rFont val="Tahoma"/>
            <family val="2"/>
          </rPr>
          <t>MinhHieu:</t>
        </r>
        <r>
          <rPr>
            <sz val="8"/>
            <color indexed="81"/>
            <rFont val="Tahoma"/>
            <family val="2"/>
          </rPr>
          <t xml:space="preserve">
So Thanh dam bi cat</t>
        </r>
      </text>
    </comment>
    <comment ref="Y303" authorId="1" shapeId="0" xr:uid="{171A35CE-3EF3-4DDB-9610-7EA994E36BBA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Phía ngoai
</t>
        </r>
      </text>
    </comment>
    <comment ref="Z303" authorId="1" shapeId="0" xr:uid="{B8507F7C-11F2-45A3-8678-2C5D6902415D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A303" authorId="1" shapeId="0" xr:uid="{3FDCBBF3-E67F-4BC4-A405-ABC411BABF0D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AB303" authorId="1" shapeId="0" xr:uid="{7FEB8CB1-7519-4626-9716-593D75BC0C56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C303" authorId="1" shapeId="0" xr:uid="{C29E6B7C-F2A5-436F-8693-85847898ECC2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
</t>
        </r>
      </text>
    </comment>
    <comment ref="AD303" authorId="1" shapeId="0" xr:uid="{75927D4E-981E-49BD-8802-1EDEE2376600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  <comment ref="AE303" authorId="1" shapeId="0" xr:uid="{3673B20B-CDFD-4780-B64E-7D7B5D52567F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ngoai</t>
        </r>
      </text>
    </comment>
    <comment ref="AF303" authorId="1" shapeId="0" xr:uid="{CDB8A0EB-985F-4A79-A407-561E6B8582EF}">
      <text>
        <r>
          <rPr>
            <b/>
            <sz val="8"/>
            <color indexed="81"/>
            <rFont val="Tahoma"/>
            <family val="2"/>
          </rPr>
          <t>TieuMinhHieu:</t>
        </r>
        <r>
          <rPr>
            <sz val="8"/>
            <color indexed="81"/>
            <rFont val="Tahoma"/>
            <family val="2"/>
          </rPr>
          <t xml:space="preserve">
Phia trong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loinv</author>
  </authors>
  <commentList>
    <comment ref="D15" authorId="0" shapeId="0" xr:uid="{BA9F5B06-D007-470A-995C-9719BB3E4062}">
      <text>
        <r>
          <rPr>
            <b/>
            <sz val="8"/>
            <color indexed="81"/>
            <rFont val="Tahoma"/>
            <family val="2"/>
            <charset val="163"/>
          </rPr>
          <t>loinv:</t>
        </r>
        <r>
          <rPr>
            <sz val="8"/>
            <color indexed="81"/>
            <rFont val="Tahoma"/>
            <family val="2"/>
            <charset val="163"/>
          </rPr>
          <t xml:space="preserve">
Chân móng mở rộng (nếu có)</t>
        </r>
      </text>
    </comment>
  </commentList>
</comments>
</file>

<file path=xl/sharedStrings.xml><?xml version="1.0" encoding="utf-8"?>
<sst xmlns="http://schemas.openxmlformats.org/spreadsheetml/2006/main" count="2515" uniqueCount="1122">
  <si>
    <t>(m)</t>
  </si>
  <si>
    <t>(m³)</t>
  </si>
  <si>
    <t>(m²)</t>
  </si>
  <si>
    <t>(T)</t>
  </si>
  <si>
    <t>(T.m)</t>
  </si>
  <si>
    <t>M200</t>
  </si>
  <si>
    <t>=</t>
  </si>
  <si>
    <t>Ptb</t>
  </si>
  <si>
    <t>Pmax</t>
  </si>
  <si>
    <t>Pmin</t>
  </si>
  <si>
    <t>(T/m²)</t>
  </si>
  <si>
    <t>x= PmaxL/(Pmax+Pmin)</t>
  </si>
  <si>
    <t>Px</t>
  </si>
  <si>
    <t>P4</t>
  </si>
  <si>
    <t>P3</t>
  </si>
  <si>
    <t>P1</t>
  </si>
  <si>
    <t>P2</t>
  </si>
  <si>
    <t>(kg.cm)</t>
  </si>
  <si>
    <t>(cm)</t>
  </si>
  <si>
    <t>&lt; Ao =0.428</t>
  </si>
  <si>
    <t>(cm²)</t>
  </si>
  <si>
    <t>(kg)</t>
  </si>
  <si>
    <t>P5</t>
  </si>
  <si>
    <t>P6</t>
  </si>
  <si>
    <t>(T/m³)</t>
  </si>
  <si>
    <t>C</t>
  </si>
  <si>
    <t>E</t>
  </si>
  <si>
    <t>2z/b</t>
  </si>
  <si>
    <t>K</t>
  </si>
  <si>
    <t>(mm)</t>
  </si>
  <si>
    <t>(Tm)</t>
  </si>
  <si>
    <t>q1  =</t>
  </si>
  <si>
    <t>q2  =</t>
  </si>
  <si>
    <t>P   =</t>
  </si>
  <si>
    <t>x</t>
  </si>
  <si>
    <t>Giaù trò heä soá k</t>
  </si>
  <si>
    <t>Tæ soá 2 caïnh</t>
  </si>
  <si>
    <t>n=l/b :</t>
  </si>
  <si>
    <t>∆</t>
  </si>
  <si>
    <t>L</t>
  </si>
  <si>
    <t>x-L/2</t>
  </si>
  <si>
    <t>A=</t>
  </si>
  <si>
    <t>L1 =</t>
  </si>
  <si>
    <t>L2 =</t>
  </si>
  <si>
    <t>Soá lieäu tính toaùn</t>
  </si>
  <si>
    <t>Beâtoâng Maùc</t>
  </si>
  <si>
    <t>Rn=</t>
  </si>
  <si>
    <t>Ra=</t>
  </si>
  <si>
    <t>Rk=</t>
  </si>
  <si>
    <t>AII</t>
  </si>
  <si>
    <t xml:space="preserve">Nhoùm coát theùp baûn </t>
  </si>
  <si>
    <t>Kg/cm²</t>
  </si>
  <si>
    <t>BTBV</t>
  </si>
  <si>
    <t>cm</t>
  </si>
  <si>
    <t>Nhoùm coát theùp daàm</t>
  </si>
  <si>
    <t>AIII</t>
  </si>
  <si>
    <t>Þ</t>
  </si>
  <si>
    <t>==&gt; Fa=</t>
  </si>
  <si>
    <t>A =</t>
  </si>
  <si>
    <t>(kg/m)</t>
  </si>
  <si>
    <t>Fa=</t>
  </si>
  <si>
    <t>cm²</t>
  </si>
  <si>
    <t>Σ M</t>
  </si>
  <si>
    <t>β = 0.8</t>
  </si>
  <si>
    <t>==&gt;</t>
  </si>
  <si>
    <t>(kg/cm²)</t>
  </si>
  <si>
    <t>M =</t>
  </si>
  <si>
    <t>a =</t>
  </si>
  <si>
    <t>h =</t>
  </si>
  <si>
    <t>ho =</t>
  </si>
  <si>
    <t xml:space="preserve">Ghi chuù </t>
  </si>
  <si>
    <t>W(kg/m)</t>
  </si>
  <si>
    <t>F(cm²)</t>
  </si>
  <si>
    <t>b =</t>
  </si>
  <si>
    <t>H =</t>
  </si>
  <si>
    <t>e =</t>
  </si>
  <si>
    <t>e' =</t>
  </si>
  <si>
    <t>N =</t>
  </si>
  <si>
    <t>Q =</t>
  </si>
  <si>
    <t>S =</t>
  </si>
  <si>
    <t>µ =</t>
  </si>
  <si>
    <t>Tính</t>
  </si>
  <si>
    <t>Ea =</t>
  </si>
  <si>
    <t>Eb =</t>
  </si>
  <si>
    <t>(kG/cm²)</t>
  </si>
  <si>
    <t>x= N/(Rn.b) =</t>
  </si>
  <si>
    <t xml:space="preserve">Fa = F'a = </t>
  </si>
  <si>
    <t>==&gt; µ =</t>
  </si>
  <si>
    <t>Tính x'</t>
  </si>
  <si>
    <t>x'=</t>
  </si>
  <si>
    <t>Tính theùp</t>
  </si>
  <si>
    <t>Fa = F'a =</t>
  </si>
  <si>
    <t>Ne-Rnbx'(ho-0.5x')</t>
  </si>
  <si>
    <t>R'a(ho-a')</t>
  </si>
  <si>
    <t xml:space="preserve">eo = </t>
  </si>
  <si>
    <t>eo =  M/N</t>
  </si>
  <si>
    <t>0.5h-a =</t>
  </si>
  <si>
    <t xml:space="preserve">e = </t>
  </si>
  <si>
    <t xml:space="preserve">e' = </t>
  </si>
  <si>
    <t>F'a =</t>
  </si>
  <si>
    <t>Ne</t>
  </si>
  <si>
    <t>Fa =</t>
  </si>
  <si>
    <t>Ne'</t>
  </si>
  <si>
    <t>Ra(ho-a)</t>
  </si>
  <si>
    <t>e = 0.5h-eo-a</t>
  </si>
  <si>
    <t>e' = 0.5h+eo-a'</t>
  </si>
  <si>
    <t>e = eo-0.5h+a</t>
  </si>
  <si>
    <t>F'a = Fa =</t>
  </si>
  <si>
    <t>e' = eo+0.5h-a</t>
  </si>
  <si>
    <t>Ra(ho-a')</t>
  </si>
  <si>
    <t>Fa min   = 0.1%bho=</t>
  </si>
  <si>
    <t>B =</t>
  </si>
  <si>
    <t>L =</t>
  </si>
  <si>
    <t>a2 =</t>
  </si>
  <si>
    <t>V =</t>
  </si>
  <si>
    <t>F =</t>
  </si>
  <si>
    <t>V1 =</t>
  </si>
  <si>
    <t>φ =</t>
  </si>
  <si>
    <t>D =</t>
  </si>
  <si>
    <t>a = a' =</t>
  </si>
  <si>
    <t xml:space="preserve">L/B = </t>
  </si>
  <si>
    <t>(1)</t>
  </si>
  <si>
    <t>(2)</t>
  </si>
  <si>
    <t>(3)</t>
  </si>
  <si>
    <t>(4)</t>
  </si>
  <si>
    <t>(5)</t>
  </si>
  <si>
    <t>(6)</t>
  </si>
  <si>
    <t>(7)</t>
  </si>
  <si>
    <t>(8)</t>
  </si>
  <si>
    <t>L2/L1</t>
  </si>
  <si>
    <t>m1</t>
  </si>
  <si>
    <t>m2</t>
  </si>
  <si>
    <t>k1</t>
  </si>
  <si>
    <t>k2</t>
  </si>
  <si>
    <t>Δm2</t>
  </si>
  <si>
    <t>Δk1</t>
  </si>
  <si>
    <t>Δk2</t>
  </si>
  <si>
    <t>STT</t>
  </si>
  <si>
    <t>&gt;0</t>
  </si>
  <si>
    <t>Qx</t>
  </si>
  <si>
    <t>Qy</t>
  </si>
  <si>
    <t>N</t>
  </si>
  <si>
    <t>Mx</t>
  </si>
  <si>
    <t>My</t>
  </si>
  <si>
    <t>P7</t>
  </si>
  <si>
    <t>q'1 =</t>
  </si>
  <si>
    <t>q'2 =</t>
  </si>
  <si>
    <t>l7=</t>
  </si>
  <si>
    <t>q'3 =</t>
  </si>
  <si>
    <t>L'1 =</t>
  </si>
  <si>
    <t>L'2 =</t>
  </si>
  <si>
    <t>L'3 =</t>
  </si>
  <si>
    <t>M=</t>
  </si>
  <si>
    <r>
      <t xml:space="preserve">  γ</t>
    </r>
    <r>
      <rPr>
        <vertAlign val="subscript"/>
        <sz val="10"/>
        <rFont val="Times New Roman"/>
        <family val="1"/>
      </rPr>
      <t>w</t>
    </r>
  </si>
  <si>
    <t>No =</t>
  </si>
  <si>
    <r>
      <t>Σ M = M</t>
    </r>
    <r>
      <rPr>
        <vertAlign val="subscript"/>
        <sz val="10"/>
        <rFont val="Times New Roman"/>
        <family val="1"/>
      </rPr>
      <t>tt</t>
    </r>
    <r>
      <rPr>
        <sz val="10"/>
        <rFont val="Times New Roman"/>
        <family val="1"/>
      </rPr>
      <t>+Q</t>
    </r>
    <r>
      <rPr>
        <vertAlign val="subscript"/>
        <sz val="10"/>
        <rFont val="Times New Roman"/>
        <family val="1"/>
      </rPr>
      <t>n</t>
    </r>
    <r>
      <rPr>
        <sz val="10"/>
        <rFont val="Times New Roman"/>
        <family val="1"/>
      </rPr>
      <t>H</t>
    </r>
  </si>
  <si>
    <r>
      <t>P</t>
    </r>
    <r>
      <rPr>
        <vertAlign val="subscript"/>
        <sz val="10"/>
        <rFont val="Times New Roman"/>
        <family val="1"/>
      </rPr>
      <t>tb1</t>
    </r>
    <r>
      <rPr>
        <sz val="10"/>
        <rFont val="Times New Roman"/>
        <family val="1"/>
      </rPr>
      <t xml:space="preserve">   =</t>
    </r>
  </si>
  <si>
    <r>
      <t>P</t>
    </r>
    <r>
      <rPr>
        <vertAlign val="subscript"/>
        <sz val="10"/>
        <rFont val="Times New Roman"/>
        <family val="1"/>
      </rPr>
      <t>tb2</t>
    </r>
    <r>
      <rPr>
        <sz val="10"/>
        <rFont val="Times New Roman"/>
        <family val="1"/>
      </rPr>
      <t xml:space="preserve">   =</t>
    </r>
  </si>
  <si>
    <r>
      <t>M     =   P</t>
    </r>
    <r>
      <rPr>
        <vertAlign val="subscript"/>
        <sz val="10"/>
        <rFont val="Times New Roman"/>
        <family val="1"/>
      </rPr>
      <t>tb</t>
    </r>
    <r>
      <rPr>
        <sz val="10"/>
        <rFont val="Times New Roman"/>
        <family val="1"/>
      </rPr>
      <t>l²/2</t>
    </r>
  </si>
  <si>
    <r>
      <t>M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=</t>
    </r>
  </si>
  <si>
    <r>
      <t>M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=</t>
    </r>
  </si>
  <si>
    <r>
      <t>==&gt;h</t>
    </r>
    <r>
      <rPr>
        <vertAlign val="subscript"/>
        <sz val="10"/>
        <rFont val="Times New Roman"/>
        <family val="1"/>
      </rPr>
      <t>o</t>
    </r>
    <r>
      <rPr>
        <sz val="10"/>
        <rFont val="Times New Roman"/>
        <family val="1"/>
      </rPr>
      <t>=</t>
    </r>
  </si>
  <si>
    <r>
      <t>A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=</t>
    </r>
  </si>
  <si>
    <r>
      <t>&lt; A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=0.428</t>
    </r>
  </si>
  <si>
    <r>
      <t>A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=</t>
    </r>
  </si>
  <si>
    <r>
      <t>γ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=</t>
    </r>
  </si>
  <si>
    <r>
      <t>γ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=</t>
    </r>
  </si>
  <si>
    <r>
      <t>F</t>
    </r>
    <r>
      <rPr>
        <vertAlign val="subscript"/>
        <sz val="10"/>
        <rFont val="Times New Roman"/>
        <family val="1"/>
      </rPr>
      <t>a1</t>
    </r>
    <r>
      <rPr>
        <sz val="10"/>
        <rFont val="Times New Roman"/>
        <family val="1"/>
      </rPr>
      <t>=</t>
    </r>
  </si>
  <si>
    <r>
      <t>F</t>
    </r>
    <r>
      <rPr>
        <vertAlign val="subscript"/>
        <sz val="10"/>
        <rFont val="Times New Roman"/>
        <family val="1"/>
      </rPr>
      <t>a2</t>
    </r>
    <r>
      <rPr>
        <sz val="10"/>
        <rFont val="Times New Roman"/>
        <family val="1"/>
      </rPr>
      <t>=</t>
    </r>
  </si>
  <si>
    <r>
      <t>L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 xml:space="preserve"> =</t>
    </r>
  </si>
  <si>
    <r>
      <t>L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=</t>
    </r>
  </si>
  <si>
    <r>
      <t>k</t>
    </r>
    <r>
      <rPr>
        <vertAlign val="subscript"/>
        <sz val="10"/>
        <rFont val="Times New Roman"/>
        <family val="1"/>
      </rPr>
      <t xml:space="preserve">1 </t>
    </r>
    <r>
      <rPr>
        <sz val="10"/>
        <rFont val="Times New Roman"/>
        <family val="1"/>
      </rPr>
      <t>=</t>
    </r>
  </si>
  <si>
    <r>
      <t>m</t>
    </r>
    <r>
      <rPr>
        <vertAlign val="subscript"/>
        <sz val="10"/>
        <rFont val="Times New Roman"/>
        <family val="1"/>
      </rPr>
      <t xml:space="preserve">1 </t>
    </r>
    <r>
      <rPr>
        <sz val="10"/>
        <rFont val="Times New Roman"/>
        <family val="1"/>
      </rPr>
      <t>=</t>
    </r>
  </si>
  <si>
    <r>
      <t>k</t>
    </r>
    <r>
      <rPr>
        <vertAlign val="subscript"/>
        <sz val="10"/>
        <rFont val="Times New Roman"/>
        <family val="1"/>
      </rPr>
      <t xml:space="preserve">2 </t>
    </r>
    <r>
      <rPr>
        <sz val="10"/>
        <rFont val="Times New Roman"/>
        <family val="1"/>
      </rPr>
      <t>=</t>
    </r>
  </si>
  <si>
    <r>
      <t>m</t>
    </r>
    <r>
      <rPr>
        <vertAlign val="subscript"/>
        <sz val="10"/>
        <rFont val="Times New Roman"/>
        <family val="1"/>
      </rPr>
      <t xml:space="preserve">2 </t>
    </r>
    <r>
      <rPr>
        <sz val="10"/>
        <rFont val="Times New Roman"/>
        <family val="1"/>
      </rPr>
      <t>=</t>
    </r>
  </si>
  <si>
    <r>
      <t>P</t>
    </r>
    <r>
      <rPr>
        <vertAlign val="subscript"/>
        <sz val="10"/>
        <rFont val="Times New Roman"/>
        <family val="1"/>
      </rPr>
      <t>tb</t>
    </r>
    <r>
      <rPr>
        <sz val="10"/>
        <rFont val="Times New Roman"/>
        <family val="1"/>
      </rPr>
      <t xml:space="preserve">   =</t>
    </r>
  </si>
  <si>
    <r>
      <t>M</t>
    </r>
    <r>
      <rPr>
        <vertAlign val="subscript"/>
        <sz val="10"/>
        <rFont val="Times New Roman"/>
        <family val="1"/>
      </rPr>
      <t>I</t>
    </r>
    <r>
      <rPr>
        <sz val="10"/>
        <rFont val="Times New Roman"/>
        <family val="1"/>
      </rPr>
      <t>=</t>
    </r>
  </si>
  <si>
    <r>
      <t>M</t>
    </r>
    <r>
      <rPr>
        <vertAlign val="subscript"/>
        <sz val="10"/>
        <rFont val="Times New Roman"/>
        <family val="1"/>
      </rPr>
      <t>II</t>
    </r>
    <r>
      <rPr>
        <sz val="10"/>
        <rFont val="Times New Roman"/>
        <family val="1"/>
      </rPr>
      <t>=</t>
    </r>
  </si>
  <si>
    <r>
      <t>a</t>
    </r>
    <r>
      <rPr>
        <vertAlign val="subscript"/>
        <sz val="10"/>
        <rFont val="Times New Roman"/>
        <family val="1"/>
      </rPr>
      <t xml:space="preserve">bv </t>
    </r>
    <r>
      <rPr>
        <sz val="10"/>
        <rFont val="Times New Roman"/>
        <family val="1"/>
      </rPr>
      <t>=</t>
    </r>
  </si>
  <si>
    <t xml:space="preserve">a = a' = </t>
  </si>
  <si>
    <r>
      <t>N</t>
    </r>
    <r>
      <rPr>
        <vertAlign val="subscript"/>
        <sz val="10"/>
        <rFont val="Times New Roman"/>
        <family val="1"/>
      </rPr>
      <t>dh</t>
    </r>
    <r>
      <rPr>
        <sz val="10"/>
        <rFont val="Times New Roman"/>
        <family val="1"/>
      </rPr>
      <t xml:space="preserve"> =</t>
    </r>
  </si>
  <si>
    <r>
      <t>M</t>
    </r>
    <r>
      <rPr>
        <vertAlign val="subscript"/>
        <sz val="10"/>
        <rFont val="Times New Roman"/>
        <family val="1"/>
      </rPr>
      <t>dh</t>
    </r>
    <r>
      <rPr>
        <sz val="10"/>
        <rFont val="Times New Roman"/>
        <family val="1"/>
      </rPr>
      <t xml:space="preserve"> =</t>
    </r>
  </si>
  <si>
    <r>
      <t>e</t>
    </r>
    <r>
      <rPr>
        <vertAlign val="subscript"/>
        <sz val="10"/>
        <rFont val="Times New Roman"/>
        <family val="1"/>
      </rPr>
      <t>ng</t>
    </r>
    <r>
      <rPr>
        <sz val="10"/>
        <rFont val="Times New Roman"/>
        <family val="1"/>
      </rPr>
      <t xml:space="preserve"> =</t>
    </r>
  </si>
  <si>
    <r>
      <t>e</t>
    </r>
    <r>
      <rPr>
        <vertAlign val="subscript"/>
        <sz val="10"/>
        <rFont val="Times New Roman"/>
        <family val="1"/>
      </rPr>
      <t>01</t>
    </r>
    <r>
      <rPr>
        <sz val="10"/>
        <rFont val="Times New Roman"/>
        <family val="1"/>
      </rPr>
      <t xml:space="preserve"> =</t>
    </r>
  </si>
  <si>
    <r>
      <t xml:space="preserve"> e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 xml:space="preserve"> = </t>
    </r>
  </si>
  <si>
    <r>
      <t>e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/h=</t>
    </r>
  </si>
  <si>
    <r>
      <t>K</t>
    </r>
    <r>
      <rPr>
        <vertAlign val="subscript"/>
        <sz val="10"/>
        <rFont val="Times New Roman"/>
        <family val="1"/>
      </rPr>
      <t xml:space="preserve">dh </t>
    </r>
    <r>
      <rPr>
        <sz val="10"/>
        <rFont val="Times New Roman"/>
        <family val="1"/>
      </rPr>
      <t>=</t>
    </r>
  </si>
  <si>
    <r>
      <t>J</t>
    </r>
    <r>
      <rPr>
        <vertAlign val="subscript"/>
        <sz val="10"/>
        <rFont val="Times New Roman"/>
        <family val="1"/>
      </rPr>
      <t>a</t>
    </r>
    <r>
      <rPr>
        <sz val="10"/>
        <rFont val="Times New Roman"/>
        <family val="1"/>
      </rPr>
      <t xml:space="preserve"> = </t>
    </r>
  </si>
  <si>
    <r>
      <t>(cm</t>
    </r>
    <r>
      <rPr>
        <vertAlign val="superscript"/>
        <sz val="10"/>
        <rFont val="Times New Roman"/>
        <family val="1"/>
      </rPr>
      <t>4</t>
    </r>
    <r>
      <rPr>
        <sz val="10"/>
        <rFont val="Times New Roman"/>
        <family val="1"/>
      </rPr>
      <t>)</t>
    </r>
  </si>
  <si>
    <r>
      <t>J</t>
    </r>
    <r>
      <rPr>
        <vertAlign val="subscript"/>
        <sz val="10"/>
        <rFont val="Times New Roman"/>
        <family val="1"/>
      </rPr>
      <t>a</t>
    </r>
    <r>
      <rPr>
        <sz val="10"/>
        <rFont val="Times New Roman"/>
        <family val="1"/>
      </rPr>
      <t xml:space="preserve"> =  µbho(0.5h-a)²</t>
    </r>
  </si>
  <si>
    <r>
      <t>J</t>
    </r>
    <r>
      <rPr>
        <vertAlign val="subscript"/>
        <sz val="10"/>
        <rFont val="Times New Roman"/>
        <family val="1"/>
      </rPr>
      <t>b</t>
    </r>
    <r>
      <rPr>
        <sz val="10"/>
        <rFont val="Times New Roman"/>
        <family val="1"/>
      </rPr>
      <t xml:space="preserve"> = </t>
    </r>
  </si>
  <si>
    <r>
      <t>J</t>
    </r>
    <r>
      <rPr>
        <vertAlign val="subscript"/>
        <sz val="10"/>
        <rFont val="Times New Roman"/>
        <family val="1"/>
      </rPr>
      <t>b</t>
    </r>
    <r>
      <rPr>
        <sz val="10"/>
        <rFont val="Times New Roman"/>
        <family val="1"/>
      </rPr>
      <t xml:space="preserve"> =  bh³/12</t>
    </r>
  </si>
  <si>
    <r>
      <t>e = ηe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+h/2-a</t>
    </r>
  </si>
  <si>
    <r>
      <t>e' = /ηe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-h/2+a'/</t>
    </r>
  </si>
  <si>
    <r>
      <t>α</t>
    </r>
    <r>
      <rPr>
        <vertAlign val="subscript"/>
        <sz val="10"/>
        <rFont val="Times New Roman"/>
        <family val="1"/>
      </rPr>
      <t xml:space="preserve">0 </t>
    </r>
    <r>
      <rPr>
        <sz val="10"/>
        <rFont val="Times New Roman"/>
        <family val="1"/>
      </rPr>
      <t>h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=</t>
    </r>
  </si>
  <si>
    <r>
      <t>e</t>
    </r>
    <r>
      <rPr>
        <vertAlign val="subscript"/>
        <sz val="10"/>
        <rFont val="Times New Roman"/>
        <family val="1"/>
      </rPr>
      <t>ogh</t>
    </r>
    <r>
      <rPr>
        <sz val="10"/>
        <rFont val="Times New Roman"/>
        <family val="1"/>
      </rPr>
      <t xml:space="preserve"> =</t>
    </r>
  </si>
  <si>
    <r>
      <t>e</t>
    </r>
    <r>
      <rPr>
        <vertAlign val="subscript"/>
        <sz val="10"/>
        <rFont val="Times New Roman"/>
        <family val="1"/>
      </rPr>
      <t>ogh</t>
    </r>
    <r>
      <rPr>
        <sz val="10"/>
        <rFont val="Times New Roman"/>
        <family val="1"/>
      </rPr>
      <t xml:space="preserve"> = 0.4(1.25h-αo ho)</t>
    </r>
  </si>
  <si>
    <r>
      <t>ηe</t>
    </r>
    <r>
      <rPr>
        <vertAlign val="subscript"/>
        <sz val="10"/>
        <rFont val="Times New Roman"/>
        <family val="1"/>
      </rPr>
      <t xml:space="preserve">o </t>
    </r>
    <r>
      <rPr>
        <sz val="10"/>
        <rFont val="Times New Roman"/>
        <family val="1"/>
      </rPr>
      <t>=</t>
    </r>
  </si>
  <si>
    <r>
      <t>0.2h</t>
    </r>
    <r>
      <rPr>
        <vertAlign val="subscript"/>
        <sz val="10"/>
        <rFont val="Times New Roman"/>
        <family val="1"/>
      </rPr>
      <t xml:space="preserve">o </t>
    </r>
    <r>
      <rPr>
        <sz val="10"/>
        <rFont val="Times New Roman"/>
        <family val="1"/>
      </rPr>
      <t>=</t>
    </r>
  </si>
  <si>
    <r>
      <t>Q</t>
    </r>
    <r>
      <rPr>
        <vertAlign val="subscript"/>
        <sz val="10"/>
        <rFont val="Times New Roman"/>
        <family val="1"/>
      </rPr>
      <t>BT</t>
    </r>
    <r>
      <rPr>
        <sz val="10"/>
        <rFont val="Times New Roman"/>
        <family val="1"/>
      </rPr>
      <t>=</t>
    </r>
  </si>
  <si>
    <t>Kích thước chân cột</t>
  </si>
  <si>
    <t>Chiều sâu chôn móng</t>
  </si>
  <si>
    <t>Giá trị tính toán</t>
  </si>
  <si>
    <t>Lớp</t>
  </si>
  <si>
    <t>Tên lớp</t>
  </si>
  <si>
    <t>Chiều dày</t>
  </si>
  <si>
    <t>(độ)</t>
  </si>
  <si>
    <r>
      <t>ε</t>
    </r>
    <r>
      <rPr>
        <vertAlign val="subscript"/>
        <sz val="10"/>
        <rFont val="Times New Roman"/>
        <family val="1"/>
      </rPr>
      <t>0</t>
    </r>
  </si>
  <si>
    <t>φ</t>
  </si>
  <si>
    <t>Chọn trường hợp tính lún</t>
  </si>
  <si>
    <t>Tại độ sâu cách đáy móng       Z =</t>
  </si>
  <si>
    <t>Chiều sâu ảnh hưởng lún cách đáy móng Z      =</t>
  </si>
  <si>
    <t>Mômen tiêu chuẩn tại đáy móng chế độ trung bình hàng năm</t>
  </si>
  <si>
    <t>Mômen gây ra do ngoại tải tại đáy móng</t>
  </si>
  <si>
    <t>Xác định vị trí ngoại lực gây ra ứng suất nền bằng 0</t>
  </si>
  <si>
    <t>Xác định các ứng suất cần thiết tại các điểm để tính móng</t>
  </si>
  <si>
    <t xml:space="preserve"> - Ô bản 1 : Loại ô bản ngàm 02 phương</t>
  </si>
  <si>
    <t>Có 02 loại bản móng : bản ngàm 2 phương và bản ngàm 3 phương</t>
  </si>
  <si>
    <t>1./Bản kê 02 cạnh và các kích thước</t>
  </si>
  <si>
    <t>Áp lực phân bố theo 2 phương, cắt ô bản 1m dài để tính</t>
  </si>
  <si>
    <t>Ứng suất trung bình</t>
  </si>
  <si>
    <t>(T/m²/mdài)</t>
  </si>
  <si>
    <r>
      <t>h</t>
    </r>
    <r>
      <rPr>
        <vertAlign val="subscript"/>
        <sz val="10"/>
        <rFont val="Times New Roman"/>
        <family val="1"/>
      </rPr>
      <t>bản</t>
    </r>
    <r>
      <rPr>
        <sz val="10"/>
        <rFont val="Times New Roman"/>
        <family val="1"/>
      </rPr>
      <t>=</t>
    </r>
  </si>
  <si>
    <t>Cường độ tính toán  Ra=</t>
  </si>
  <si>
    <t>Mômen tại gối</t>
  </si>
  <si>
    <t>Tính toán cốt thép</t>
  </si>
  <si>
    <t>Đặt thép   Ø</t>
  </si>
  <si>
    <t>2./Bản kê 3 cạnh có kích thước</t>
  </si>
  <si>
    <t>Ứng suất trung bình để tính</t>
  </si>
  <si>
    <t>Mômen lớn nhất    M =</t>
  </si>
  <si>
    <t>Cốt thép bản móng nhóm</t>
  </si>
  <si>
    <t>Các hệ số :</t>
  </si>
  <si>
    <t>Mômen tính toán :   M=</t>
  </si>
  <si>
    <t>(kg.m/m dài)</t>
  </si>
  <si>
    <t>Mômen tại nhịp</t>
  </si>
  <si>
    <t>Kích thước dầm</t>
  </si>
  <si>
    <t>1./Tính cốt thép tại gối</t>
  </si>
  <si>
    <t>Đặt thép</t>
  </si>
  <si>
    <t>2./Tính cốt thép tại nhịp</t>
  </si>
  <si>
    <t>Cốt thép dầm móng nhóm</t>
  </si>
  <si>
    <t>Nội lực tính toán :</t>
  </si>
  <si>
    <t>Kích thước cổ móng</t>
  </si>
  <si>
    <t>Mômen tại tiết diện dầm móng</t>
  </si>
  <si>
    <t>Độ lệch tâm ngẫu nhiên</t>
  </si>
  <si>
    <t>1./ Trường hợp nén lệch tâm</t>
  </si>
  <si>
    <t>Độ lệch tâm do nội lực</t>
  </si>
  <si>
    <r>
      <t>Độ lệch tâm  e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 xml:space="preserve"> = e</t>
    </r>
    <r>
      <rPr>
        <vertAlign val="subscript"/>
        <sz val="10"/>
        <rFont val="Times New Roman"/>
        <family val="1"/>
      </rPr>
      <t>o1</t>
    </r>
    <r>
      <rPr>
        <sz val="10"/>
        <rFont val="Times New Roman"/>
        <family val="1"/>
      </rPr>
      <t xml:space="preserve"> + e</t>
    </r>
    <r>
      <rPr>
        <vertAlign val="subscript"/>
        <sz val="10"/>
        <rFont val="Times New Roman"/>
        <family val="1"/>
      </rPr>
      <t>ng</t>
    </r>
  </si>
  <si>
    <t>S là hệ số kể đến độ lệch tâm</t>
  </si>
  <si>
    <t>Kdh  là hệ số kể đến tính chất dài hạn của tải trọng</t>
  </si>
  <si>
    <t>Giả thuyết</t>
  </si>
  <si>
    <t>Lực dọc tới hạn</t>
  </si>
  <si>
    <t>hệ số uốn dọc</t>
  </si>
  <si>
    <t>Độ lệch tâm tính toán</t>
  </si>
  <si>
    <t>Chiều cao vùng nén</t>
  </si>
  <si>
    <t>Tính thép cho trường hợp nén lệch tâm lớn</t>
  </si>
  <si>
    <t>hide</t>
  </si>
  <si>
    <t>==&gt; giả thuyết</t>
  </si>
  <si>
    <t>Tính thép cho trường hợp nén lệch tâm bé</t>
  </si>
  <si>
    <t>Cốt thép cổ móng nhóm</t>
  </si>
  <si>
    <t>2./ Trường hợp kéo lệch tâm</t>
  </si>
  <si>
    <t>Độ lệch tâm</t>
  </si>
  <si>
    <t xml:space="preserve">Tính thép cho trường hợp kéo lệch tâm bé </t>
  </si>
  <si>
    <t>Lực cắt Q =</t>
  </si>
  <si>
    <r>
      <t>Khả năng chịu cắt của bêtông Q</t>
    </r>
    <r>
      <rPr>
        <vertAlign val="subscript"/>
        <sz val="10"/>
        <rFont val="Times New Roman"/>
        <family val="1"/>
      </rPr>
      <t>BT</t>
    </r>
    <r>
      <rPr>
        <sz val="10"/>
        <rFont val="Times New Roman"/>
        <family val="1"/>
      </rPr>
      <t xml:space="preserve"> = k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R</t>
    </r>
    <r>
      <rPr>
        <vertAlign val="subscript"/>
        <sz val="10"/>
        <rFont val="Times New Roman"/>
        <family val="1"/>
      </rPr>
      <t>k</t>
    </r>
    <r>
      <rPr>
        <sz val="10"/>
        <rFont val="Times New Roman"/>
        <family val="1"/>
      </rPr>
      <t>bh</t>
    </r>
    <r>
      <rPr>
        <vertAlign val="subscript"/>
        <sz val="10"/>
        <rFont val="Times New Roman"/>
        <family val="1"/>
      </rPr>
      <t>o</t>
    </r>
    <r>
      <rPr>
        <sz val="10"/>
        <rFont val="Times New Roman"/>
        <family val="1"/>
      </rPr>
      <t xml:space="preserve"> </t>
    </r>
  </si>
  <si>
    <t>Tính thép cho trường hợp kéo lệch tâm lớn</t>
  </si>
  <si>
    <r>
      <t>Tỉ lệ 2 cạnh L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/L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=</t>
    </r>
  </si>
  <si>
    <t>r =</t>
  </si>
  <si>
    <t>m</t>
  </si>
  <si>
    <t>x1=x-L/2=</t>
  </si>
  <si>
    <t>a1/2=</t>
  </si>
  <si>
    <t>P1= Pmax(x-b2)/x</t>
  </si>
  <si>
    <t>P2= Pmax(x-b2-a)/x</t>
  </si>
  <si>
    <t>P4=/Pmin/(L-x-b2)/(L-x)</t>
  </si>
  <si>
    <t>P4=/Pmin/(L-x-b2-a)/(L-x)</t>
  </si>
  <si>
    <t>Px=Pmax*x1/x</t>
  </si>
  <si>
    <t>P6=Pmax(x-L/2+c/2)/x</t>
  </si>
  <si>
    <t>P7=Pmax(x-r)/x</t>
  </si>
  <si>
    <t>3./ Tính cốt đai</t>
  </si>
  <si>
    <t>Lưc cắt lớn nhất tại vị trí cổ móng</t>
  </si>
  <si>
    <r>
      <t>Q</t>
    </r>
    <r>
      <rPr>
        <vertAlign val="subscript"/>
        <sz val="10"/>
        <rFont val="Times New Roman"/>
        <family val="1"/>
      </rPr>
      <t xml:space="preserve">BT </t>
    </r>
    <r>
      <rPr>
        <sz val="10"/>
        <rFont val="Times New Roman"/>
        <family val="1"/>
      </rPr>
      <t>=</t>
    </r>
  </si>
  <si>
    <t>Cốt đai Ø =</t>
  </si>
  <si>
    <t>fđ =</t>
  </si>
  <si>
    <t>n =</t>
  </si>
  <si>
    <t>u =</t>
  </si>
  <si>
    <t>(kg) &gt; Q</t>
  </si>
  <si>
    <t>P5=Pmax(x-2a2-a)/x</t>
  </si>
  <si>
    <t>&lt; Q ==&gt;</t>
  </si>
  <si>
    <t>MOÙNG BAÛN :</t>
  </si>
  <si>
    <t>MB</t>
  </si>
  <si>
    <t>Buloâng</t>
  </si>
  <si>
    <t>kg</t>
  </si>
  <si>
    <t>Ngoaøi</t>
  </si>
  <si>
    <t>Trong</t>
  </si>
  <si>
    <t>H baûn</t>
  </si>
  <si>
    <t>Baûn</t>
  </si>
  <si>
    <t>N1</t>
  </si>
  <si>
    <t>N2</t>
  </si>
  <si>
    <t>H daàm</t>
  </si>
  <si>
    <t>KCCT</t>
  </si>
  <si>
    <t>Ngang</t>
  </si>
  <si>
    <t>H moùng</t>
  </si>
  <si>
    <t>Doïc</t>
  </si>
  <si>
    <t>B coå coät</t>
  </si>
  <si>
    <t xml:space="preserve">CTTC </t>
  </si>
  <si>
    <t>B daàm</t>
  </si>
  <si>
    <t>KC thanh 1</t>
  </si>
  <si>
    <t>Vaùt daàm</t>
  </si>
  <si>
    <t>Theùp giaù</t>
  </si>
  <si>
    <t>2 DAM</t>
  </si>
  <si>
    <t>Theùp ñai 1</t>
  </si>
  <si>
    <t>Theùp löôùi</t>
  </si>
  <si>
    <t>Theùp Baûn</t>
  </si>
  <si>
    <t>Tang cuong 1</t>
  </si>
  <si>
    <t>Tang cuong 2</t>
  </si>
  <si>
    <t>Theùp</t>
  </si>
  <si>
    <t>Coät</t>
  </si>
  <si>
    <t>Daàm1</t>
  </si>
  <si>
    <t>Daàm TC 1</t>
  </si>
  <si>
    <t>Daàm 2</t>
  </si>
  <si>
    <t>Daàm TC 2</t>
  </si>
  <si>
    <t>TCN 1</t>
  </si>
  <si>
    <t>TCN 2</t>
  </si>
  <si>
    <t>TCD 1</t>
  </si>
  <si>
    <t>TCD 2</t>
  </si>
  <si>
    <t>TC1</t>
  </si>
  <si>
    <t>TC2</t>
  </si>
  <si>
    <t>KC</t>
  </si>
  <si>
    <t>SL</t>
  </si>
  <si>
    <t>TCD</t>
  </si>
  <si>
    <t>CD thanh</t>
  </si>
  <si>
    <t xml:space="preserve">MOÙNG BAÛN </t>
  </si>
  <si>
    <t>A</t>
  </si>
  <si>
    <t>B</t>
  </si>
  <si>
    <t>A1</t>
  </si>
  <si>
    <t>B1</t>
  </si>
  <si>
    <t>H</t>
  </si>
  <si>
    <t>KET QUA</t>
  </si>
  <si>
    <t xml:space="preserve">S.Hieäu </t>
  </si>
  <si>
    <t>lenght</t>
  </si>
  <si>
    <t>Quantity</t>
  </si>
  <si>
    <t>Total</t>
  </si>
  <si>
    <t>O  BAN</t>
  </si>
  <si>
    <t>Coå coät</t>
  </si>
  <si>
    <t>DAM  MONG</t>
  </si>
  <si>
    <t>Daàm ngang</t>
  </si>
  <si>
    <t>VAT  DAM</t>
  </si>
  <si>
    <t>2a</t>
  </si>
  <si>
    <t>Tang cuong dam</t>
  </si>
  <si>
    <t>COÅÅ COÄT</t>
  </si>
  <si>
    <t>3a</t>
  </si>
  <si>
    <t>BE TONG MONG TONG CONG  M200</t>
  </si>
  <si>
    <t>BT LOT M100</t>
  </si>
  <si>
    <t>TBN1</t>
  </si>
  <si>
    <t>CAT DEM</t>
  </si>
  <si>
    <t>4a</t>
  </si>
  <si>
    <t>TBN2</t>
  </si>
  <si>
    <t>DAT DAO</t>
  </si>
  <si>
    <t>4b</t>
  </si>
  <si>
    <t>TT 1 phia ngoai</t>
  </si>
  <si>
    <t>DAT DAP CO</t>
  </si>
  <si>
    <t>4c</t>
  </si>
  <si>
    <t>TT 1 phia trong</t>
  </si>
  <si>
    <t xml:space="preserve">DAT DAP </t>
  </si>
  <si>
    <t>4d</t>
  </si>
  <si>
    <t>TT 2 phia ngoai</t>
  </si>
  <si>
    <t>4e</t>
  </si>
  <si>
    <t>TT 2 phia trong</t>
  </si>
  <si>
    <t>Toång hôïp coát theùp</t>
  </si>
  <si>
    <t>TBN3</t>
  </si>
  <si>
    <t>Kg/m</t>
  </si>
  <si>
    <t>Weight</t>
  </si>
  <si>
    <t>Haøm löôïng</t>
  </si>
  <si>
    <t>TBD1</t>
  </si>
  <si>
    <t>TBD2</t>
  </si>
  <si>
    <t>6a</t>
  </si>
  <si>
    <t>6b</t>
  </si>
  <si>
    <t>6c</t>
  </si>
  <si>
    <t>TBD3</t>
  </si>
  <si>
    <t>TC</t>
  </si>
  <si>
    <t>TÑD</t>
  </si>
  <si>
    <t>9a</t>
  </si>
  <si>
    <t>TÑD2</t>
  </si>
  <si>
    <t>9b</t>
  </si>
  <si>
    <t>Ñôõ theùp daàm</t>
  </si>
  <si>
    <t>Stub-bar</t>
  </si>
  <si>
    <t>OÂ Baûn</t>
  </si>
  <si>
    <t>Daàm Moùng</t>
  </si>
  <si>
    <t>SUM</t>
  </si>
  <si>
    <t>Tính ñaát ñaøo</t>
  </si>
  <si>
    <t>R</t>
  </si>
  <si>
    <t>KQ1</t>
  </si>
  <si>
    <t>Khoâng caùt ñeäm</t>
  </si>
  <si>
    <t>Coù caùt ñeäm</t>
  </si>
  <si>
    <t>Ñaát ñaáp bôø bao</t>
  </si>
  <si>
    <t>S</t>
  </si>
  <si>
    <t>B'</t>
  </si>
  <si>
    <t>L'</t>
  </si>
  <si>
    <t>KQ2</t>
  </si>
  <si>
    <t>Ñaát laáp moùng</t>
  </si>
  <si>
    <r>
      <t>V</t>
    </r>
    <r>
      <rPr>
        <vertAlign val="subscript"/>
        <sz val="10"/>
        <rFont val="VNI-Times"/>
      </rPr>
      <t>BT</t>
    </r>
  </si>
  <si>
    <t>KQ3</t>
  </si>
  <si>
    <t>taluy</t>
  </si>
  <si>
    <t>H ñaøo</t>
  </si>
  <si>
    <t>L1</t>
  </si>
  <si>
    <t>V(m³)</t>
  </si>
  <si>
    <t>x4</t>
  </si>
  <si>
    <t>48-250</t>
  </si>
  <si>
    <t>6d</t>
  </si>
  <si>
    <t>Chieàu cao</t>
  </si>
  <si>
    <t>Ren raên</t>
  </si>
  <si>
    <t>01 chieác</t>
  </si>
  <si>
    <t>Khoái löôïng</t>
  </si>
  <si>
    <t>Cho 4T</t>
  </si>
  <si>
    <t>Cho 8T</t>
  </si>
  <si>
    <t>Cho 12T</t>
  </si>
  <si>
    <t>36-250</t>
  </si>
  <si>
    <t>36-282</t>
  </si>
  <si>
    <t>42-250</t>
  </si>
  <si>
    <t>42-282</t>
  </si>
  <si>
    <t>48-282</t>
  </si>
  <si>
    <t>56-250</t>
  </si>
  <si>
    <t>Doc</t>
  </si>
  <si>
    <t>Boá trí theùp baûn theo baûn tính</t>
  </si>
  <si>
    <t>ΣEi  Zi</t>
  </si>
  <si>
    <t>ΣZ</t>
  </si>
  <si>
    <t>Δm1</t>
  </si>
  <si>
    <t>Bố trí thép bản theo bảng tính</t>
  </si>
  <si>
    <t>Ngoài</t>
  </si>
  <si>
    <t>MÓNG BẢN</t>
  </si>
  <si>
    <t>H bản</t>
  </si>
  <si>
    <t>H dầm</t>
  </si>
  <si>
    <t>H móng</t>
  </si>
  <si>
    <t>B cổ cột</t>
  </si>
  <si>
    <t>B dầm</t>
  </si>
  <si>
    <t>Vát dầm</t>
  </si>
  <si>
    <t>Hàm lượng</t>
  </si>
  <si>
    <t>Tổng hợp thép</t>
  </si>
  <si>
    <t>No</t>
  </si>
  <si>
    <t>Ø</t>
  </si>
  <si>
    <t>CỔ CỘT</t>
  </si>
  <si>
    <t>Dam TC 1</t>
  </si>
  <si>
    <t>Dam1</t>
  </si>
  <si>
    <t>Dam 2</t>
  </si>
  <si>
    <t>Dam TC 2</t>
  </si>
  <si>
    <t>Cot</t>
  </si>
  <si>
    <t>Co Cot</t>
  </si>
  <si>
    <t>Dam ngang</t>
  </si>
  <si>
    <t>Ban</t>
  </si>
  <si>
    <t>O ban</t>
  </si>
  <si>
    <t>Dam Mong</t>
  </si>
  <si>
    <t>Do thep dam</t>
  </si>
  <si>
    <t>TĐD</t>
  </si>
  <si>
    <t>TĐD2</t>
  </si>
  <si>
    <t>Thep luoi</t>
  </si>
  <si>
    <t>Thep dai</t>
  </si>
  <si>
    <t>Thep giang</t>
  </si>
  <si>
    <t>SỐ HIỆU</t>
  </si>
  <si>
    <t>HÌNH DÁNH THANH</t>
  </si>
  <si>
    <t>SỐ LƯỢNG</t>
  </si>
  <si>
    <t>Ø 
(mm)</t>
  </si>
  <si>
    <t>CHIỀU DÀI 
01 THANH (mm)</t>
  </si>
  <si>
    <t>CHIỀU DÀI 
TỔNG CỘNG (m)</t>
  </si>
  <si>
    <t>5b</t>
  </si>
  <si>
    <t>5c</t>
  </si>
  <si>
    <t>5d</t>
  </si>
  <si>
    <t>5e</t>
  </si>
  <si>
    <t>5a</t>
  </si>
  <si>
    <t>KHỐI LƯỢNG
(kg)</t>
  </si>
  <si>
    <t>KHỐI LƯỢNG TỔNG CỘNG
(kg)</t>
  </si>
  <si>
    <t>TỔNG HỢP KHỐI LƯỢNG THÉP CHO 01 MÓNG</t>
  </si>
  <si>
    <t>CHIỀU DÀI
(m)</t>
  </si>
  <si>
    <t>D. Tính cốt đai cho cổ móng</t>
  </si>
  <si>
    <t>C. Tính cốt thép cổ móng</t>
  </si>
  <si>
    <t>B. Tính toán cốt thép dầm móng</t>
  </si>
  <si>
    <t>A. Tính toán cốt thép bản móng</t>
  </si>
  <si>
    <t>a/ Tính theo bản ngàm 3 cạnh</t>
  </si>
  <si>
    <t>b/ Tính theo bản console</t>
  </si>
  <si>
    <t>Tính toán kết cấu móng</t>
  </si>
  <si>
    <t>Độ nghiêng của móng</t>
  </si>
  <si>
    <t>M250</t>
  </si>
  <si>
    <t xml:space="preserve"> - Ô bản 2 : Loại ô bản ngàm 03 phương</t>
  </si>
  <si>
    <t>L    =</t>
  </si>
  <si>
    <t>L2   =</t>
  </si>
  <si>
    <t>S   =</t>
  </si>
  <si>
    <t>Z   =</t>
  </si>
  <si>
    <t>Đệm cát</t>
  </si>
  <si>
    <t>Bêtông đúc móng:</t>
  </si>
  <si>
    <t>(CB400-V)</t>
  </si>
  <si>
    <t>==&gt; γ  =</t>
  </si>
  <si>
    <t>Cốt thép móng</t>
  </si>
  <si>
    <t>Cường độ tính toán chịu nén  Rn    =</t>
  </si>
  <si>
    <t>Cường độ tính toán chịu kéo  Rk    =</t>
  </si>
  <si>
    <t>Cường độ tính toán Ra  =</t>
  </si>
  <si>
    <t>==&gt;  A =</t>
  </si>
  <si>
    <t>==&gt;  γ  =</t>
  </si>
  <si>
    <t>Sơ đồ tính</t>
  </si>
  <si>
    <t>==&gt; Fa = F'a =</t>
  </si>
  <si>
    <t>HK TK</t>
  </si>
  <si>
    <t>Sự cố max</t>
  </si>
  <si>
    <t>mm</t>
  </si>
  <si>
    <t>Lực nhổ max</t>
  </si>
  <si>
    <t>Lực nén máx</t>
  </si>
  <si>
    <t>`</t>
  </si>
  <si>
    <t>L1=</t>
  </si>
  <si>
    <t>L2=</t>
  </si>
  <si>
    <t>Không xóa số này</t>
  </si>
  <si>
    <t>bản 4 cạnh ngàm thuộc sơ đồ 9</t>
  </si>
  <si>
    <t>LOẠI CỘT</t>
  </si>
  <si>
    <t>Từng chân</t>
  </si>
  <si>
    <t>Cả cột</t>
  </si>
  <si>
    <r>
      <t>90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 xml:space="preserve"> max</t>
    </r>
  </si>
  <si>
    <r>
      <t>45</t>
    </r>
    <r>
      <rPr>
        <vertAlign val="superscript"/>
        <sz val="10"/>
        <rFont val="Times New Roman"/>
        <family val="1"/>
      </rPr>
      <t>o</t>
    </r>
    <r>
      <rPr>
        <sz val="10"/>
        <rFont val="Times New Roman"/>
        <family val="1"/>
      </rPr>
      <t xml:space="preserve"> max</t>
    </r>
  </si>
  <si>
    <t>Bảng hệ số m1 và m2</t>
  </si>
  <si>
    <t>Loại đất</t>
  </si>
  <si>
    <t>Đất hòn lớn có chất nhét 
là cát và đất cát không kể đất phấn và bụ</t>
  </si>
  <si>
    <t>hệ số m1</t>
  </si>
  <si>
    <t>Cát mịn</t>
  </si>
  <si>
    <t>Khô và ít ẩm</t>
  </si>
  <si>
    <t>Cát bụi</t>
  </si>
  <si>
    <t>Is&lt;=0.5</t>
  </si>
  <si>
    <t>Is&gt;0.5</t>
  </si>
  <si>
    <t>hệ số m2</t>
  </si>
  <si>
    <t>l/h&gt;=4</t>
  </si>
  <si>
    <t>l/h&lt;=7.5</t>
  </si>
  <si>
    <t>T</t>
  </si>
  <si>
    <t>Trong đó</t>
  </si>
  <si>
    <r>
      <t>N</t>
    </r>
    <r>
      <rPr>
        <vertAlign val="superscript"/>
        <sz val="11"/>
        <color theme="1"/>
        <rFont val="Times New Roman"/>
        <family val="1"/>
      </rPr>
      <t>tt</t>
    </r>
    <r>
      <rPr>
        <sz val="11"/>
        <color theme="1"/>
        <rFont val="Times New Roman"/>
        <family val="1"/>
      </rPr>
      <t>: Tổng tải trọng thẳng đứng tác dụng tại đáy</t>
    </r>
  </si>
  <si>
    <r>
      <t>n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>: hệ số vượt tải của tải trọng thằng đứng(n&lt;1)</t>
    </r>
  </si>
  <si>
    <t xml:space="preserve">f: hệ số ma sát giữa đất và nền phụ thuộc vào độ </t>
  </si>
  <si>
    <t>nhám của đáy móng và loại đất</t>
  </si>
  <si>
    <t>&gt;1.5</t>
  </si>
  <si>
    <t>&gt; 1.5</t>
  </si>
  <si>
    <t>T/m</t>
  </si>
  <si>
    <t>&lt;[Smax]=</t>
  </si>
  <si>
    <t>CÔNG TRÌNH</t>
  </si>
  <si>
    <t>HẠNG MỤC</t>
  </si>
  <si>
    <t xml:space="preserve">Cột </t>
  </si>
  <si>
    <t>Chọn kích thước móng</t>
  </si>
  <si>
    <t>Chiều cao móng</t>
  </si>
  <si>
    <t>Dầm móng</t>
  </si>
  <si>
    <t>Bản móng</t>
  </si>
  <si>
    <t>Cổ móng</t>
  </si>
  <si>
    <t>Các kích thước khác</t>
  </si>
  <si>
    <t>Thể tích bê tông móng</t>
  </si>
  <si>
    <t>1.Tổ hợp lực chân cột truyền xuống móng</t>
  </si>
  <si>
    <t>Diện tích đáy móng</t>
  </si>
  <si>
    <t>Mômen kháng đáy móng theo phương  Y</t>
  </si>
  <si>
    <t>Mômen kháng đáy móng theo phương  X</t>
  </si>
  <si>
    <t xml:space="preserve">Chiều cao móng trên mặt đất </t>
  </si>
  <si>
    <t>Thể tích đất lấp móng</t>
  </si>
  <si>
    <t>Đấp móng</t>
  </si>
  <si>
    <t>Thể tích đất đối trọng</t>
  </si>
  <si>
    <t>Bêtông đối trọng</t>
  </si>
  <si>
    <t>Mômen đối trọng</t>
  </si>
  <si>
    <t>2. Tính toán kết cấu móng</t>
  </si>
  <si>
    <t>Bêtông đúc móng</t>
  </si>
  <si>
    <t>Cường độ tính toán chịu nén</t>
  </si>
  <si>
    <t>Cường độ tính toán chịu kéo</t>
  </si>
  <si>
    <t>2.1. Tính toán cốt thép bản móng</t>
  </si>
  <si>
    <t>Có 03 loại bản móng : bản ngàm 2 cạnh ,  bản ngàm 3 cạnh và 4 cạnh</t>
  </si>
  <si>
    <t xml:space="preserve"> - Ô bản 1 : Loại ô bản ngàm 02 cạnh</t>
  </si>
  <si>
    <t xml:space="preserve"> - Ô bản 2 : Loại ô bản ngàm 03 cạnh</t>
  </si>
  <si>
    <t xml:space="preserve"> - Ô bản 3 : Loại ô bản ngàm 04 cạnh</t>
  </si>
  <si>
    <t>(cm²/m dài)</t>
  </si>
  <si>
    <t>Mômen lớn nhất  M =</t>
  </si>
  <si>
    <t xml:space="preserve">b/ Tính theo bản console </t>
  </si>
  <si>
    <t>Mômen tính toán M=</t>
  </si>
  <si>
    <t>3./Bản kê 4 cạnh có kích thước</t>
  </si>
  <si>
    <t>Mômen lớn nhất M =</t>
  </si>
  <si>
    <t>Khả năng chịu cắt của bê tông</t>
  </si>
  <si>
    <t>=&gt; Bê tông đủ khả năng chịu cắt, cốt đai được bố trí cấu tạo</t>
  </si>
  <si>
    <t>2.2. Tính toán cốt thép dầm móng</t>
  </si>
  <si>
    <t xml:space="preserve">Lưc cắt lớn nhất </t>
  </si>
  <si>
    <t>Bê tông đủ khả năng chịu cắt cốt đai được bố trí cấu tạo</t>
  </si>
  <si>
    <t>2.3. Tính cốt thép cổ móng</t>
  </si>
  <si>
    <t>Nội lực tính toán</t>
  </si>
  <si>
    <t>Hệ số uốn dọc</t>
  </si>
  <si>
    <t xml:space="preserve">Khả năng chịu cắt của bêtông: </t>
  </si>
  <si>
    <t>2.4. Tính cốt đai cho cổ móng</t>
  </si>
  <si>
    <t>Bảng tổng hợp nội lực</t>
  </si>
  <si>
    <t>Trường hợp</t>
  </si>
  <si>
    <t>Qx(T)</t>
  </si>
  <si>
    <t>Qy(T)</t>
  </si>
  <si>
    <t>N(T)</t>
  </si>
  <si>
    <t>Mx(T.m)</t>
  </si>
  <si>
    <t>My(T.m)</t>
  </si>
  <si>
    <t>Mz(T.m)</t>
  </si>
  <si>
    <t>Lực nén max</t>
  </si>
  <si>
    <t>90 độ max</t>
  </si>
  <si>
    <t>45 độ max</t>
  </si>
  <si>
    <t>Thường xuyên tiêu chuẩn</t>
  </si>
  <si>
    <t>Giá trị tiêu chuẩn</t>
  </si>
  <si>
    <t>Địa chất công trình</t>
  </si>
  <si>
    <t>Bảng 14 - TCVN9362:2012</t>
  </si>
  <si>
    <t>Áp lực tiêu chuẩn của nền đất</t>
  </si>
  <si>
    <t>Trong đó :</t>
  </si>
  <si>
    <t>Tải trọng</t>
  </si>
  <si>
    <t>Trường hợp mực nước ngầm sát mặt đất</t>
  </si>
  <si>
    <t>Trường hợp mực nước ngầm sát mặt đáy móng</t>
  </si>
  <si>
    <t>Áp lực tiêu chuẩn của móng</t>
  </si>
  <si>
    <t>Vậy kích thước móng chọn thoả mãn theo khả năng chịu tải đất nền</t>
  </si>
  <si>
    <t>Độ lún của móng được tính theo phương pháp cộng lún từng lớp</t>
  </si>
  <si>
    <t>Ứng suất gây lún (mực nước ngầm sát mặt đất)</t>
  </si>
  <si>
    <t>Ứng suất gây lún (mực nước ngầm sát mặt đáy móng)</t>
  </si>
  <si>
    <t>Hệ số nở hông</t>
  </si>
  <si>
    <t>Chiều sâu vùng ảnh hưởng lún có</t>
  </si>
  <si>
    <t>Độ lún của nền</t>
  </si>
  <si>
    <t xml:space="preserve"> Tham khảo bảng 22 -Biến dạng giới hạn của nền trụ tải điện</t>
  </si>
  <si>
    <t>S=</t>
  </si>
  <si>
    <t>Hệ số áp lực chủ động theo công thức của Rankine</t>
  </si>
  <si>
    <t xml:space="preserve">Áp lực chủ động </t>
  </si>
  <si>
    <t>Hệ số áp lực bị động theo công thức của Rankine</t>
  </si>
  <si>
    <t>Áp lực bị động</t>
  </si>
  <si>
    <t xml:space="preserve">Tổng lực gây trượt </t>
  </si>
  <si>
    <t xml:space="preserve">Tổng lực chống trượt </t>
  </si>
  <si>
    <t>Lớp đệm cát dưới đáy móng nên f = 0.45</t>
  </si>
  <si>
    <t xml:space="preserve"> cm²</t>
  </si>
  <si>
    <t>Momen theo 3 TH</t>
  </si>
  <si>
    <t>90 max</t>
  </si>
  <si>
    <t>45 max</t>
  </si>
  <si>
    <t>Sự cố</t>
  </si>
  <si>
    <t>Mmax</t>
  </si>
  <si>
    <t>Qtn =</t>
  </si>
  <si>
    <t>Qtnh=</t>
  </si>
  <si>
    <t>Tính Max, Min theo cách 2:</t>
  </si>
  <si>
    <t>M1 =</t>
  </si>
  <si>
    <t>T.m</t>
  </si>
  <si>
    <t>M3 =</t>
  </si>
  <si>
    <t>Thường xuyên</t>
  </si>
  <si>
    <t>B7.5</t>
  </si>
  <si>
    <t>B20</t>
  </si>
  <si>
    <t>w</t>
  </si>
  <si>
    <t>l</t>
  </si>
  <si>
    <t>R1 =R2</t>
  </si>
  <si>
    <t>V1</t>
  </si>
  <si>
    <t>V1 = V2</t>
  </si>
  <si>
    <t>M1 = M2</t>
  </si>
  <si>
    <t xml:space="preserve">M3 </t>
  </si>
  <si>
    <t>a</t>
  </si>
  <si>
    <t>b</t>
  </si>
  <si>
    <t xml:space="preserve">c </t>
  </si>
  <si>
    <t>2b</t>
  </si>
  <si>
    <t>2c</t>
  </si>
  <si>
    <t>2w</t>
  </si>
  <si>
    <t>Vdd</t>
  </si>
  <si>
    <t>Gbt</t>
  </si>
  <si>
    <t xml:space="preserve">Hàm lượng thép </t>
  </si>
  <si>
    <t>%  &gt; μmin = 0.1 %</t>
  </si>
  <si>
    <t xml:space="preserve">(cm²) </t>
  </si>
  <si>
    <t>Tổng N</t>
  </si>
  <si>
    <t>USTB</t>
  </si>
  <si>
    <t>USMax</t>
  </si>
  <si>
    <t>USMin</t>
  </si>
  <si>
    <t>kg.cm</t>
  </si>
  <si>
    <t>Q</t>
  </si>
  <si>
    <t>90 độ</t>
  </si>
  <si>
    <t>45 độ</t>
  </si>
  <si>
    <t>Tx tc</t>
  </si>
  <si>
    <t xml:space="preserve">Copy giá trị nội lực </t>
  </si>
  <si>
    <t>B12.5</t>
  </si>
  <si>
    <t>B15</t>
  </si>
  <si>
    <t>B25</t>
  </si>
  <si>
    <t>B30</t>
  </si>
  <si>
    <t>B35</t>
  </si>
  <si>
    <t>B40</t>
  </si>
  <si>
    <t>Modun đàn hồi của bê tông Eb (10^3 Mpa)</t>
  </si>
  <si>
    <t>(T.m/m)</t>
  </si>
  <si>
    <t>Theo cạnh ngắn</t>
  </si>
  <si>
    <t>b-2(b2+c/2)</t>
  </si>
  <si>
    <t>T/m2</t>
  </si>
  <si>
    <t>Eb</t>
  </si>
  <si>
    <t>Etc =3.Eo</t>
  </si>
  <si>
    <t xml:space="preserve">Điều kiện : </t>
  </si>
  <si>
    <t xml:space="preserve">Trong đó : </t>
  </si>
  <si>
    <t>b=</t>
  </si>
  <si>
    <t>b2=</t>
  </si>
  <si>
    <t>h1=</t>
  </si>
  <si>
    <t>a2=</t>
  </si>
  <si>
    <t>c1=</t>
  </si>
  <si>
    <t>Vế trái  =</t>
  </si>
  <si>
    <t>Vế phải =</t>
  </si>
  <si>
    <t>&lt;</t>
  </si>
  <si>
    <t>(T/m2)</t>
  </si>
  <si>
    <t>Độ cứng của móng đối với cạnh ngắn của bản</t>
  </si>
  <si>
    <t>Độ cứng của móng đối với cạnh dài của bản</t>
  </si>
  <si>
    <t>Tên</t>
  </si>
  <si>
    <t>Mác</t>
  </si>
  <si>
    <t>E(Mpa)</t>
  </si>
  <si>
    <t>Rbt(Mpa)</t>
  </si>
  <si>
    <t>Rb(Mpa)</t>
  </si>
  <si>
    <t>B22.5</t>
  </si>
  <si>
    <t>M300</t>
  </si>
  <si>
    <t>M350</t>
  </si>
  <si>
    <t>M400</t>
  </si>
  <si>
    <t>M450</t>
  </si>
  <si>
    <t>M500</t>
  </si>
  <si>
    <t>B45</t>
  </si>
  <si>
    <t>M600</t>
  </si>
  <si>
    <t>B50</t>
  </si>
  <si>
    <t>M700</t>
  </si>
  <si>
    <t>B55</t>
  </si>
  <si>
    <t>B60</t>
  </si>
  <si>
    <t>M800</t>
  </si>
  <si>
    <t>Chú ý: 1MPa = 100T/m2</t>
  </si>
  <si>
    <t>1Mpa =100T/m2</t>
  </si>
  <si>
    <t>Bê tông</t>
  </si>
  <si>
    <t>Rs (Mpa)</t>
  </si>
  <si>
    <t>Rsc (Mpa)</t>
  </si>
  <si>
    <t>Rsw (Mpa)</t>
  </si>
  <si>
    <t>E (Mpa)</t>
  </si>
  <si>
    <t>CB240-T</t>
  </si>
  <si>
    <t>CB300-V</t>
  </si>
  <si>
    <t>CB400-V</t>
  </si>
  <si>
    <t>CB500-V</t>
  </si>
  <si>
    <t>Cốt thép</t>
  </si>
  <si>
    <t>@(cm)</t>
  </si>
  <si>
    <t>Đặt thép Ø(mm)</t>
  </si>
  <si>
    <t>Chiều đối trọng</t>
  </si>
  <si>
    <t>Số lượng</t>
  </si>
  <si>
    <t>TXTC</t>
  </si>
  <si>
    <t>Qx (T)</t>
  </si>
  <si>
    <t>Qy (T)</t>
  </si>
  <si>
    <t>N (T)</t>
  </si>
  <si>
    <t>Mx (T.m)</t>
  </si>
  <si>
    <t>My (T.m)</t>
  </si>
  <si>
    <t>Mz (T.m)</t>
  </si>
  <si>
    <t>Điều kiện</t>
  </si>
  <si>
    <t>TỔ HỢP LỰC TÍNH TOÁN (ĐƠN VỊ: T-Tm)</t>
  </si>
  <si>
    <t xml:space="preserve">Lấy giá trị moment lớn nhất trong các trường hợp để tính toán </t>
  </si>
  <si>
    <t>với :</t>
  </si>
  <si>
    <t>Tinhs toán theo cách cũ</t>
  </si>
  <si>
    <r>
      <t>Q</t>
    </r>
    <r>
      <rPr>
        <vertAlign val="subscript"/>
        <sz val="10"/>
        <color rgb="FFFFFF00"/>
        <rFont val="Times New Roman"/>
        <family val="1"/>
      </rPr>
      <t>max</t>
    </r>
  </si>
  <si>
    <t>Ko xóa</t>
  </si>
  <si>
    <t>Hệ số: chỉ dùng khi là móng trong trạm(4-5)</t>
  </si>
  <si>
    <t>Mômen kháng đáy móng theo phương X</t>
  </si>
  <si>
    <t>Mômen kháng đáy móng theo phương Y</t>
  </si>
  <si>
    <t>Tính toán lực ngang</t>
  </si>
  <si>
    <t>Momen theo 4 TH</t>
  </si>
  <si>
    <t>T.hợp/ Moment</t>
  </si>
  <si>
    <t>Copy địa chất vào bảng này</t>
  </si>
  <si>
    <t>T.hợp/Moment</t>
  </si>
  <si>
    <t>c  =</t>
  </si>
  <si>
    <r>
      <t>Gió 90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 xml:space="preserve"> max</t>
    </r>
  </si>
  <si>
    <r>
      <t>N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=</t>
    </r>
  </si>
  <si>
    <r>
      <t>Q</t>
    </r>
    <r>
      <rPr>
        <vertAlign val="superscript"/>
        <sz val="12"/>
        <rFont val="Times New Roman"/>
        <family val="1"/>
      </rPr>
      <t>tc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=</t>
    </r>
  </si>
  <si>
    <r>
      <t>Q</t>
    </r>
    <r>
      <rPr>
        <vertAlign val="superscript"/>
        <sz val="12"/>
        <rFont val="Times New Roman"/>
        <family val="1"/>
      </rPr>
      <t>tc</t>
    </r>
    <r>
      <rPr>
        <vertAlign val="subscript"/>
        <sz val="12"/>
        <rFont val="Times New Roman"/>
        <family val="1"/>
      </rPr>
      <t>y</t>
    </r>
    <r>
      <rPr>
        <sz val="12"/>
        <rFont val="Times New Roman"/>
        <family val="1"/>
      </rPr>
      <t xml:space="preserve"> =</t>
    </r>
  </si>
  <si>
    <r>
      <t>M</t>
    </r>
    <r>
      <rPr>
        <vertAlign val="superscript"/>
        <sz val="12"/>
        <rFont val="Times New Roman"/>
        <family val="1"/>
      </rPr>
      <t>tc</t>
    </r>
    <r>
      <rPr>
        <vertAlign val="subscript"/>
        <sz val="12"/>
        <rFont val="Times New Roman"/>
        <family val="1"/>
      </rPr>
      <t>y</t>
    </r>
    <r>
      <rPr>
        <sz val="12"/>
        <rFont val="Times New Roman"/>
        <family val="1"/>
      </rPr>
      <t xml:space="preserve"> =</t>
    </r>
  </si>
  <si>
    <r>
      <t>M</t>
    </r>
    <r>
      <rPr>
        <vertAlign val="superscript"/>
        <sz val="12"/>
        <rFont val="Times New Roman"/>
        <family val="1"/>
      </rPr>
      <t>tc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=</t>
    </r>
  </si>
  <si>
    <r>
      <t>Gió 45</t>
    </r>
    <r>
      <rPr>
        <vertAlign val="superscript"/>
        <sz val="12"/>
        <rFont val="Times New Roman"/>
        <family val="1"/>
      </rPr>
      <t>0</t>
    </r>
    <r>
      <rPr>
        <sz val="12"/>
        <rFont val="Times New Roman"/>
        <family val="1"/>
      </rPr>
      <t xml:space="preserve"> max</t>
    </r>
  </si>
  <si>
    <r>
      <t>h</t>
    </r>
    <r>
      <rPr>
        <vertAlign val="subscript"/>
        <sz val="12"/>
        <rFont val="Times New Roman"/>
        <family val="1"/>
      </rPr>
      <t>đđ</t>
    </r>
    <r>
      <rPr>
        <sz val="12"/>
        <rFont val="Times New Roman"/>
        <family val="1"/>
      </rPr>
      <t xml:space="preserve"> =</t>
    </r>
  </si>
  <si>
    <r>
      <t xml:space="preserve"> V</t>
    </r>
    <r>
      <rPr>
        <vertAlign val="subscript"/>
        <sz val="12"/>
        <rFont val="Times New Roman"/>
        <family val="1"/>
      </rPr>
      <t>đđ</t>
    </r>
    <r>
      <rPr>
        <sz val="12"/>
        <rFont val="Times New Roman"/>
        <family val="1"/>
      </rPr>
      <t xml:space="preserve"> =</t>
    </r>
  </si>
  <si>
    <r>
      <t>Mômen đối trọng M</t>
    </r>
    <r>
      <rPr>
        <vertAlign val="subscript"/>
        <sz val="12"/>
        <rFont val="Times New Roman"/>
        <family val="1"/>
      </rPr>
      <t>bt</t>
    </r>
    <r>
      <rPr>
        <sz val="12"/>
        <rFont val="Times New Roman"/>
        <family val="1"/>
      </rPr>
      <t xml:space="preserve"> =</t>
    </r>
  </si>
  <si>
    <r>
      <t>N</t>
    </r>
    <r>
      <rPr>
        <vertAlign val="superscript"/>
        <sz val="12"/>
        <rFont val="Times New Roman"/>
        <family val="1"/>
      </rPr>
      <t>tt</t>
    </r>
    <r>
      <rPr>
        <sz val="12"/>
        <rFont val="Times New Roman"/>
        <family val="1"/>
      </rPr>
      <t xml:space="preserve"> =</t>
    </r>
  </si>
  <si>
    <r>
      <t>Q</t>
    </r>
    <r>
      <rPr>
        <vertAlign val="superscript"/>
        <sz val="12"/>
        <rFont val="Times New Roman"/>
        <family val="1"/>
      </rPr>
      <t>tt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=</t>
    </r>
  </si>
  <si>
    <r>
      <t>M</t>
    </r>
    <r>
      <rPr>
        <vertAlign val="superscript"/>
        <sz val="12"/>
        <rFont val="Times New Roman"/>
        <family val="1"/>
      </rPr>
      <t>tt</t>
    </r>
    <r>
      <rPr>
        <vertAlign val="subscript"/>
        <sz val="12"/>
        <rFont val="Times New Roman"/>
        <family val="1"/>
      </rPr>
      <t>y</t>
    </r>
    <r>
      <rPr>
        <sz val="12"/>
        <rFont val="Times New Roman"/>
        <family val="1"/>
      </rPr>
      <t xml:space="preserve"> =</t>
    </r>
  </si>
  <si>
    <r>
      <t>N</t>
    </r>
    <r>
      <rPr>
        <vertAlign val="superscript"/>
        <sz val="12"/>
        <rFont val="Times New Roman"/>
        <family val="1"/>
      </rPr>
      <t>tt</t>
    </r>
    <r>
      <rPr>
        <sz val="12"/>
        <rFont val="Times New Roman"/>
        <family val="1"/>
      </rPr>
      <t>.nén =</t>
    </r>
  </si>
  <si>
    <r>
      <t>N</t>
    </r>
    <r>
      <rPr>
        <vertAlign val="superscript"/>
        <sz val="12"/>
        <rFont val="Times New Roman"/>
        <family val="1"/>
      </rPr>
      <t>tt</t>
    </r>
    <r>
      <rPr>
        <sz val="12"/>
        <rFont val="Times New Roman"/>
        <family val="1"/>
      </rPr>
      <t>.nh =</t>
    </r>
  </si>
  <si>
    <r>
      <t>Q</t>
    </r>
    <r>
      <rPr>
        <vertAlign val="superscript"/>
        <sz val="12"/>
        <rFont val="Times New Roman"/>
        <family val="1"/>
      </rPr>
      <t>tt</t>
    </r>
    <r>
      <rPr>
        <vertAlign val="subscript"/>
        <sz val="12"/>
        <rFont val="Times New Roman"/>
        <family val="1"/>
      </rPr>
      <t>y</t>
    </r>
    <r>
      <rPr>
        <sz val="12"/>
        <rFont val="Times New Roman"/>
        <family val="1"/>
      </rPr>
      <t xml:space="preserve"> =</t>
    </r>
  </si>
  <si>
    <r>
      <t>E</t>
    </r>
    <r>
      <rPr>
        <vertAlign val="subscript"/>
        <sz val="12"/>
        <rFont val="Times New Roman"/>
        <family val="1"/>
      </rPr>
      <t xml:space="preserve">b </t>
    </r>
    <r>
      <rPr>
        <sz val="12"/>
        <rFont val="Times New Roman"/>
        <family val="1"/>
      </rPr>
      <t>=</t>
    </r>
  </si>
  <si>
    <r>
      <t>E</t>
    </r>
    <r>
      <rPr>
        <vertAlign val="subscript"/>
        <sz val="12"/>
        <rFont val="Times New Roman"/>
        <family val="1"/>
      </rPr>
      <t>d</t>
    </r>
    <r>
      <rPr>
        <vertAlign val="superscript"/>
        <sz val="12"/>
        <rFont val="Times New Roman"/>
        <family val="1"/>
      </rPr>
      <t xml:space="preserve">tc </t>
    </r>
    <r>
      <rPr>
        <sz val="12"/>
        <rFont val="Times New Roman"/>
        <family val="1"/>
      </rPr>
      <t>= 3*Eo =</t>
    </r>
  </si>
  <si>
    <r>
      <t>(T/m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);    E</t>
    </r>
    <r>
      <rPr>
        <vertAlign val="subscript"/>
        <sz val="12"/>
        <rFont val="Times New Roman"/>
        <family val="1"/>
      </rPr>
      <t>d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= 3*E</t>
    </r>
    <r>
      <rPr>
        <vertAlign val="subscript"/>
        <sz val="12"/>
        <rFont val="Times New Roman"/>
        <family val="1"/>
      </rPr>
      <t>o</t>
    </r>
    <r>
      <rPr>
        <sz val="12"/>
        <rFont val="Times New Roman"/>
        <family val="1"/>
      </rPr>
      <t xml:space="preserve"> =</t>
    </r>
  </si>
  <si>
    <r>
      <t>R</t>
    </r>
    <r>
      <rPr>
        <vertAlign val="subscript"/>
        <sz val="12"/>
        <rFont val="Times New Roman"/>
        <family val="1"/>
      </rPr>
      <t>n</t>
    </r>
    <r>
      <rPr>
        <sz val="12"/>
        <rFont val="Times New Roman"/>
        <family val="1"/>
      </rPr>
      <t xml:space="preserve"> (R</t>
    </r>
    <r>
      <rPr>
        <vertAlign val="subscript"/>
        <sz val="12"/>
        <rFont val="Times New Roman"/>
        <family val="1"/>
      </rPr>
      <t>b</t>
    </r>
    <r>
      <rPr>
        <sz val="12"/>
        <rFont val="Times New Roman"/>
        <family val="1"/>
      </rPr>
      <t>) =</t>
    </r>
  </si>
  <si>
    <r>
      <t>Cường độ tính toán R</t>
    </r>
    <r>
      <rPr>
        <vertAlign val="sub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  =</t>
    </r>
  </si>
  <si>
    <r>
      <t>R</t>
    </r>
    <r>
      <rPr>
        <vertAlign val="subscript"/>
        <sz val="12"/>
        <rFont val="Times New Roman"/>
        <family val="1"/>
      </rPr>
      <t>k</t>
    </r>
    <r>
      <rPr>
        <sz val="12"/>
        <rFont val="Times New Roman"/>
        <family val="1"/>
      </rPr>
      <t xml:space="preserve"> (R</t>
    </r>
    <r>
      <rPr>
        <vertAlign val="subscript"/>
        <sz val="12"/>
        <rFont val="Times New Roman"/>
        <family val="1"/>
      </rPr>
      <t>bt</t>
    </r>
    <r>
      <rPr>
        <sz val="12"/>
        <rFont val="Times New Roman"/>
        <family val="1"/>
      </rPr>
      <t>) =</t>
    </r>
  </si>
  <si>
    <r>
      <t>Σ M = M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>+Q</t>
    </r>
    <r>
      <rPr>
        <vertAlign val="subscript"/>
        <sz val="12"/>
        <rFont val="Times New Roman"/>
        <family val="1"/>
      </rPr>
      <t>n</t>
    </r>
    <r>
      <rPr>
        <sz val="12"/>
        <rFont val="Times New Roman"/>
        <family val="1"/>
      </rPr>
      <t>H</t>
    </r>
  </si>
  <si>
    <r>
      <t>P</t>
    </r>
    <r>
      <rPr>
        <vertAlign val="subscript"/>
        <sz val="12"/>
        <rFont val="Times New Roman"/>
        <family val="1"/>
      </rPr>
      <t>tb1</t>
    </r>
    <r>
      <rPr>
        <sz val="12"/>
        <rFont val="Times New Roman"/>
        <family val="1"/>
      </rPr>
      <t xml:space="preserve">   =</t>
    </r>
  </si>
  <si>
    <r>
      <t>M     =   P</t>
    </r>
    <r>
      <rPr>
        <vertAlign val="subscript"/>
        <sz val="12"/>
        <rFont val="Times New Roman"/>
        <family val="1"/>
      </rPr>
      <t>tb</t>
    </r>
    <r>
      <rPr>
        <sz val="12"/>
        <rFont val="Times New Roman"/>
        <family val="1"/>
      </rPr>
      <t>l²/2</t>
    </r>
  </si>
  <si>
    <r>
      <t>P</t>
    </r>
    <r>
      <rPr>
        <vertAlign val="subscript"/>
        <sz val="12"/>
        <rFont val="Times New Roman"/>
        <family val="1"/>
      </rPr>
      <t>tb2</t>
    </r>
    <r>
      <rPr>
        <sz val="12"/>
        <rFont val="Times New Roman"/>
        <family val="1"/>
      </rPr>
      <t xml:space="preserve">   =</t>
    </r>
  </si>
  <si>
    <r>
      <t>M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>=</t>
    </r>
  </si>
  <si>
    <r>
      <t>h</t>
    </r>
    <r>
      <rPr>
        <vertAlign val="subscript"/>
        <sz val="12"/>
        <rFont val="Times New Roman"/>
        <family val="1"/>
      </rPr>
      <t>bản</t>
    </r>
    <r>
      <rPr>
        <sz val="12"/>
        <rFont val="Times New Roman"/>
        <family val="1"/>
      </rPr>
      <t>=</t>
    </r>
  </si>
  <si>
    <r>
      <t>M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=</t>
    </r>
  </si>
  <si>
    <r>
      <t>==&gt;h</t>
    </r>
    <r>
      <rPr>
        <vertAlign val="subscript"/>
        <sz val="12"/>
        <rFont val="Times New Roman"/>
        <family val="1"/>
      </rPr>
      <t>o</t>
    </r>
    <r>
      <rPr>
        <sz val="12"/>
        <rFont val="Times New Roman"/>
        <family val="1"/>
      </rPr>
      <t>=</t>
    </r>
  </si>
  <si>
    <r>
      <t>&lt; A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>=0.428</t>
    </r>
  </si>
  <si>
    <r>
      <t>F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>=</t>
    </r>
  </si>
  <si>
    <r>
      <t>==&gt; F</t>
    </r>
    <r>
      <rPr>
        <vertAlign val="subscript"/>
        <sz val="12"/>
        <rFont val="Times New Roman"/>
        <family val="1"/>
      </rPr>
      <t>chọn</t>
    </r>
    <r>
      <rPr>
        <sz val="12"/>
        <rFont val="Times New Roman"/>
        <family val="1"/>
      </rPr>
      <t>=</t>
    </r>
  </si>
  <si>
    <r>
      <t>L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=</t>
    </r>
  </si>
  <si>
    <r>
      <t>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=</t>
    </r>
  </si>
  <si>
    <r>
      <t>Tỉ lệ 2 cạnh L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>/L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=</t>
    </r>
  </si>
  <si>
    <r>
      <t>Các hệ số</t>
    </r>
    <r>
      <rPr>
        <i/>
        <sz val="12"/>
        <color indexed="30"/>
        <rFont val="Times New Roman"/>
        <family val="1"/>
      </rPr>
      <t>:</t>
    </r>
  </si>
  <si>
    <r>
      <t>k</t>
    </r>
    <r>
      <rPr>
        <vertAlign val="subscript"/>
        <sz val="12"/>
        <rFont val="Times New Roman"/>
        <family val="1"/>
      </rPr>
      <t xml:space="preserve">1 </t>
    </r>
    <r>
      <rPr>
        <sz val="12"/>
        <rFont val="Times New Roman"/>
        <family val="1"/>
      </rPr>
      <t>=</t>
    </r>
  </si>
  <si>
    <r>
      <t>m</t>
    </r>
    <r>
      <rPr>
        <vertAlign val="subscript"/>
        <sz val="12"/>
        <rFont val="Times New Roman"/>
        <family val="1"/>
      </rPr>
      <t xml:space="preserve">1 </t>
    </r>
    <r>
      <rPr>
        <sz val="12"/>
        <rFont val="Times New Roman"/>
        <family val="1"/>
      </rPr>
      <t>=</t>
    </r>
  </si>
  <si>
    <r>
      <t>k</t>
    </r>
    <r>
      <rPr>
        <vertAlign val="sub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=</t>
    </r>
  </si>
  <si>
    <r>
      <t>m</t>
    </r>
    <r>
      <rPr>
        <vertAlign val="subscript"/>
        <sz val="12"/>
        <rFont val="Times New Roman"/>
        <family val="1"/>
      </rPr>
      <t xml:space="preserve">2 </t>
    </r>
    <r>
      <rPr>
        <sz val="12"/>
        <rFont val="Times New Roman"/>
        <family val="1"/>
      </rPr>
      <t>=</t>
    </r>
  </si>
  <si>
    <r>
      <t>P</t>
    </r>
    <r>
      <rPr>
        <vertAlign val="subscript"/>
        <sz val="12"/>
        <rFont val="Times New Roman"/>
        <family val="1"/>
      </rPr>
      <t>tb</t>
    </r>
    <r>
      <rPr>
        <sz val="12"/>
        <rFont val="Times New Roman"/>
        <family val="1"/>
      </rPr>
      <t xml:space="preserve">   =</t>
    </r>
  </si>
  <si>
    <r>
      <t>M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>=</t>
    </r>
  </si>
  <si>
    <r>
      <t>M</t>
    </r>
    <r>
      <rPr>
        <vertAlign val="subscript"/>
        <sz val="12"/>
        <rFont val="Times New Roman"/>
        <family val="1"/>
      </rPr>
      <t>II</t>
    </r>
    <r>
      <rPr>
        <sz val="12"/>
        <rFont val="Times New Roman"/>
        <family val="1"/>
      </rPr>
      <t>=</t>
    </r>
  </si>
  <si>
    <r>
      <t xml:space="preserve">Các hệ số </t>
    </r>
    <r>
      <rPr>
        <i/>
        <sz val="12"/>
        <color indexed="30"/>
        <rFont val="Times New Roman"/>
        <family val="1"/>
      </rPr>
      <t>:</t>
    </r>
  </si>
  <si>
    <r>
      <t>k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>=</t>
    </r>
  </si>
  <si>
    <r>
      <t>k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=</t>
    </r>
  </si>
  <si>
    <r>
      <t>M</t>
    </r>
    <r>
      <rPr>
        <vertAlign val="subscript"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=</t>
    </r>
  </si>
  <si>
    <r>
      <t>Q</t>
    </r>
    <r>
      <rPr>
        <b/>
        <i/>
        <vertAlign val="subscript"/>
        <sz val="12"/>
        <color theme="1"/>
        <rFont val="Times New Roman"/>
        <family val="1"/>
      </rPr>
      <t>max</t>
    </r>
    <r>
      <rPr>
        <b/>
        <i/>
        <sz val="12"/>
        <color theme="1"/>
        <rFont val="Times New Roman"/>
        <family val="1"/>
      </rPr>
      <t xml:space="preserve"> =</t>
    </r>
  </si>
  <si>
    <t>=&gt; γ  =</t>
  </si>
  <si>
    <r>
      <t>=&gt; F</t>
    </r>
    <r>
      <rPr>
        <vertAlign val="subscript"/>
        <sz val="12"/>
        <rFont val="Times New Roman"/>
        <family val="1"/>
      </rPr>
      <t>chọn</t>
    </r>
    <r>
      <rPr>
        <sz val="12"/>
        <rFont val="Times New Roman"/>
        <family val="1"/>
      </rPr>
      <t>=</t>
    </r>
  </si>
  <si>
    <r>
      <t>(T)  =&gt; Q &gt; Q</t>
    </r>
    <r>
      <rPr>
        <vertAlign val="subscript"/>
        <sz val="12"/>
        <rFont val="Times New Roman"/>
        <family val="1"/>
      </rPr>
      <t>max</t>
    </r>
  </si>
  <si>
    <r>
      <t>a</t>
    </r>
    <r>
      <rPr>
        <vertAlign val="subscript"/>
        <sz val="12"/>
        <rFont val="Times New Roman"/>
        <family val="1"/>
      </rPr>
      <t xml:space="preserve">bv </t>
    </r>
    <r>
      <rPr>
        <sz val="12"/>
        <rFont val="Times New Roman"/>
        <family val="1"/>
      </rPr>
      <t>=</t>
    </r>
  </si>
  <si>
    <r>
      <t>1.</t>
    </r>
    <r>
      <rPr>
        <u/>
        <sz val="12"/>
        <rFont val="Times New Roman"/>
        <family val="1"/>
      </rPr>
      <t>/Tính cốt thép tại gối</t>
    </r>
  </si>
  <si>
    <r>
      <t>Q</t>
    </r>
    <r>
      <rPr>
        <vertAlign val="subscript"/>
        <sz val="12"/>
        <rFont val="Times New Roman"/>
        <family val="1"/>
      </rPr>
      <t>max</t>
    </r>
    <r>
      <rPr>
        <sz val="12"/>
        <rFont val="Times New Roman"/>
        <family val="1"/>
      </rPr>
      <t xml:space="preserve"> =</t>
    </r>
  </si>
  <si>
    <r>
      <t>Q&gt;Q</t>
    </r>
    <r>
      <rPr>
        <vertAlign val="subscript"/>
        <sz val="12"/>
        <rFont val="Times New Roman"/>
        <family val="1"/>
      </rPr>
      <t>max</t>
    </r>
  </si>
  <si>
    <t>=&gt;  A =</t>
  </si>
  <si>
    <t>=&gt;  γ  =</t>
  </si>
  <si>
    <r>
      <t>N</t>
    </r>
    <r>
      <rPr>
        <vertAlign val="subscript"/>
        <sz val="12"/>
        <rFont val="Times New Roman"/>
        <family val="1"/>
      </rPr>
      <t>dh</t>
    </r>
    <r>
      <rPr>
        <sz val="12"/>
        <rFont val="Times New Roman"/>
        <family val="1"/>
      </rPr>
      <t xml:space="preserve"> =</t>
    </r>
  </si>
  <si>
    <r>
      <t>M</t>
    </r>
    <r>
      <rPr>
        <vertAlign val="subscript"/>
        <sz val="12"/>
        <rFont val="Times New Roman"/>
        <family val="1"/>
      </rPr>
      <t>dh</t>
    </r>
    <r>
      <rPr>
        <sz val="12"/>
        <rFont val="Times New Roman"/>
        <family val="1"/>
      </rPr>
      <t xml:space="preserve"> =</t>
    </r>
  </si>
  <si>
    <r>
      <t>Độ lệch tâm  e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 xml:space="preserve"> = e</t>
    </r>
    <r>
      <rPr>
        <vertAlign val="subscript"/>
        <sz val="12"/>
        <rFont val="Times New Roman"/>
        <family val="1"/>
      </rPr>
      <t>o1</t>
    </r>
    <r>
      <rPr>
        <sz val="12"/>
        <rFont val="Times New Roman"/>
        <family val="1"/>
      </rPr>
      <t xml:space="preserve"> + e</t>
    </r>
    <r>
      <rPr>
        <vertAlign val="subscript"/>
        <sz val="12"/>
        <rFont val="Times New Roman"/>
        <family val="1"/>
      </rPr>
      <t>ng</t>
    </r>
  </si>
  <si>
    <r>
      <t>e</t>
    </r>
    <r>
      <rPr>
        <vertAlign val="subscript"/>
        <sz val="12"/>
        <rFont val="Times New Roman"/>
        <family val="1"/>
      </rPr>
      <t>ng</t>
    </r>
    <r>
      <rPr>
        <sz val="12"/>
        <rFont val="Times New Roman"/>
        <family val="1"/>
      </rPr>
      <t xml:space="preserve"> =</t>
    </r>
  </si>
  <si>
    <r>
      <t>e</t>
    </r>
    <r>
      <rPr>
        <vertAlign val="subscript"/>
        <sz val="12"/>
        <rFont val="Times New Roman"/>
        <family val="1"/>
      </rPr>
      <t>01</t>
    </r>
    <r>
      <rPr>
        <sz val="12"/>
        <rFont val="Times New Roman"/>
        <family val="1"/>
      </rPr>
      <t xml:space="preserve"> =</t>
    </r>
  </si>
  <si>
    <r>
      <t xml:space="preserve"> e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 xml:space="preserve"> = </t>
    </r>
  </si>
  <si>
    <r>
      <t>e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>/h=</t>
    </r>
  </si>
  <si>
    <r>
      <t>(cm</t>
    </r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>)</t>
    </r>
  </si>
  <si>
    <r>
      <t>e = ηe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>+h/2-a</t>
    </r>
  </si>
  <si>
    <r>
      <t>e' = /ηe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>-h/2+a'/</t>
    </r>
  </si>
  <si>
    <r>
      <t>α</t>
    </r>
    <r>
      <rPr>
        <vertAlign val="subscript"/>
        <sz val="12"/>
        <rFont val="Times New Roman"/>
        <family val="1"/>
      </rPr>
      <t xml:space="preserve">0 </t>
    </r>
    <r>
      <rPr>
        <sz val="12"/>
        <rFont val="Times New Roman"/>
        <family val="1"/>
      </rPr>
      <t>h</t>
    </r>
    <r>
      <rPr>
        <vertAlign val="subscript"/>
        <sz val="12"/>
        <rFont val="Times New Roman"/>
        <family val="1"/>
      </rPr>
      <t>0</t>
    </r>
    <r>
      <rPr>
        <sz val="12"/>
        <rFont val="Times New Roman"/>
        <family val="1"/>
      </rPr>
      <t>=</t>
    </r>
  </si>
  <si>
    <r>
      <t>F</t>
    </r>
    <r>
      <rPr>
        <vertAlign val="subscript"/>
        <sz val="12"/>
        <rFont val="Times New Roman"/>
        <family val="1"/>
      </rPr>
      <t xml:space="preserve">tt </t>
    </r>
    <r>
      <rPr>
        <sz val="12"/>
        <rFont val="Times New Roman"/>
        <family val="1"/>
      </rPr>
      <t>= F'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 xml:space="preserve"> = </t>
    </r>
  </si>
  <si>
    <r>
      <t>e</t>
    </r>
    <r>
      <rPr>
        <vertAlign val="subscript"/>
        <sz val="12"/>
        <rFont val="Times New Roman"/>
        <family val="1"/>
      </rPr>
      <t>ogh</t>
    </r>
    <r>
      <rPr>
        <sz val="12"/>
        <rFont val="Times New Roman"/>
        <family val="1"/>
      </rPr>
      <t xml:space="preserve"> =</t>
    </r>
  </si>
  <si>
    <r>
      <t>e</t>
    </r>
    <r>
      <rPr>
        <vertAlign val="subscript"/>
        <sz val="12"/>
        <rFont val="Times New Roman"/>
        <family val="1"/>
      </rPr>
      <t>ogh</t>
    </r>
    <r>
      <rPr>
        <sz val="12"/>
        <rFont val="Times New Roman"/>
        <family val="1"/>
      </rPr>
      <t xml:space="preserve"> = 0.4(1.25h-αo ho)</t>
    </r>
  </si>
  <si>
    <r>
      <t>ηe</t>
    </r>
    <r>
      <rPr>
        <vertAlign val="subscript"/>
        <sz val="12"/>
        <rFont val="Times New Roman"/>
        <family val="1"/>
      </rPr>
      <t xml:space="preserve">o </t>
    </r>
    <r>
      <rPr>
        <sz val="12"/>
        <rFont val="Times New Roman"/>
        <family val="1"/>
      </rPr>
      <t>=</t>
    </r>
  </si>
  <si>
    <r>
      <t>0.2h</t>
    </r>
    <r>
      <rPr>
        <vertAlign val="subscript"/>
        <sz val="12"/>
        <rFont val="Times New Roman"/>
        <family val="1"/>
      </rPr>
      <t xml:space="preserve">o </t>
    </r>
    <r>
      <rPr>
        <sz val="12"/>
        <rFont val="Times New Roman"/>
        <family val="1"/>
      </rPr>
      <t>=</t>
    </r>
  </si>
  <si>
    <r>
      <t>F'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 xml:space="preserve"> =</t>
    </r>
  </si>
  <si>
    <r>
      <t>F'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 xml:space="preserve"> = F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 xml:space="preserve"> =</t>
    </r>
  </si>
  <si>
    <r>
      <t>F</t>
    </r>
    <r>
      <rPr>
        <vertAlign val="subscript"/>
        <sz val="12"/>
        <rFont val="Times New Roman"/>
        <family val="1"/>
      </rPr>
      <t>tt</t>
    </r>
    <r>
      <rPr>
        <sz val="12"/>
        <rFont val="Times New Roman"/>
        <family val="1"/>
      </rPr>
      <t xml:space="preserve"> =</t>
    </r>
  </si>
  <si>
    <r>
      <t>Q</t>
    </r>
    <r>
      <rPr>
        <vertAlign val="subscript"/>
        <sz val="12"/>
        <rFont val="Times New Roman"/>
        <family val="1"/>
      </rPr>
      <t>BT</t>
    </r>
    <r>
      <rPr>
        <sz val="12"/>
        <rFont val="Times New Roman"/>
        <family val="1"/>
      </rPr>
      <t xml:space="preserve"> &gt; Q</t>
    </r>
    <r>
      <rPr>
        <vertAlign val="subscript"/>
        <sz val="12"/>
        <rFont val="Times New Roman"/>
        <family val="1"/>
      </rPr>
      <t>max</t>
    </r>
  </si>
  <si>
    <r>
      <t>W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=</t>
    </r>
  </si>
  <si>
    <r>
      <t>W</t>
    </r>
    <r>
      <rPr>
        <vertAlign val="subscript"/>
        <sz val="12"/>
        <rFont val="Times New Roman"/>
        <family val="1"/>
      </rPr>
      <t>y</t>
    </r>
    <r>
      <rPr>
        <sz val="12"/>
        <rFont val="Times New Roman"/>
        <family val="1"/>
      </rPr>
      <t xml:space="preserve"> =</t>
    </r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</si>
  <si>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=</t>
    </r>
  </si>
  <si>
    <r>
      <t>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=</t>
    </r>
  </si>
  <si>
    <r>
      <t>M</t>
    </r>
    <r>
      <rPr>
        <vertAlign val="subscript"/>
        <sz val="12"/>
        <rFont val="Times New Roman"/>
        <family val="1"/>
      </rPr>
      <t>dd</t>
    </r>
    <r>
      <rPr>
        <sz val="12"/>
        <rFont val="Times New Roman"/>
        <family val="1"/>
      </rPr>
      <t xml:space="preserve"> = </t>
    </r>
  </si>
  <si>
    <r>
      <t>V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=</t>
    </r>
  </si>
  <si>
    <r>
      <t xml:space="preserve">  γ</t>
    </r>
    <r>
      <rPr>
        <vertAlign val="subscript"/>
        <sz val="12"/>
        <rFont val="Times New Roman"/>
        <family val="1"/>
      </rPr>
      <t>w</t>
    </r>
  </si>
  <si>
    <r>
      <t>ε</t>
    </r>
    <r>
      <rPr>
        <vertAlign val="subscript"/>
        <sz val="12"/>
        <rFont val="Times New Roman"/>
        <family val="1"/>
      </rPr>
      <t>0</t>
    </r>
  </si>
  <si>
    <r>
      <t xml:space="preserve">  γ</t>
    </r>
    <r>
      <rPr>
        <vertAlign val="subscript"/>
        <sz val="12"/>
        <rFont val="Times New Roman"/>
        <family val="1"/>
      </rPr>
      <t>đn</t>
    </r>
  </si>
  <si>
    <r>
      <t>m=m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.m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/k</t>
    </r>
    <r>
      <rPr>
        <vertAlign val="subscript"/>
        <sz val="12"/>
        <color theme="1"/>
        <rFont val="Times New Roman"/>
        <family val="1"/>
      </rPr>
      <t>tc=</t>
    </r>
  </si>
  <si>
    <r>
      <t>M</t>
    </r>
    <r>
      <rPr>
        <vertAlign val="subscript"/>
        <sz val="12"/>
        <rFont val="Times New Roman"/>
        <family val="1"/>
      </rPr>
      <t>x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= M</t>
    </r>
    <r>
      <rPr>
        <vertAlign val="subscript"/>
        <sz val="12"/>
        <rFont val="Times New Roman"/>
        <family val="1"/>
      </rPr>
      <t>ox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 + Q</t>
    </r>
    <r>
      <rPr>
        <vertAlign val="subscript"/>
        <sz val="12"/>
        <rFont val="Times New Roman"/>
        <family val="1"/>
      </rPr>
      <t>oy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x H =</t>
    </r>
  </si>
  <si>
    <r>
      <t>M</t>
    </r>
    <r>
      <rPr>
        <vertAlign val="subscript"/>
        <sz val="12"/>
        <rFont val="Times New Roman"/>
        <family val="1"/>
      </rPr>
      <t>y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= M</t>
    </r>
    <r>
      <rPr>
        <vertAlign val="subscript"/>
        <sz val="12"/>
        <rFont val="Times New Roman"/>
        <family val="1"/>
      </rPr>
      <t>oy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 + Q</t>
    </r>
    <r>
      <rPr>
        <vertAlign val="subscript"/>
        <sz val="12"/>
        <rFont val="Times New Roman"/>
        <family val="1"/>
      </rPr>
      <t>ox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x H =</t>
    </r>
  </si>
  <si>
    <r>
      <t>σ</t>
    </r>
    <r>
      <rPr>
        <vertAlign val="subscript"/>
        <sz val="12"/>
        <rFont val="Times New Roman"/>
        <family val="1"/>
      </rPr>
      <t xml:space="preserve">max </t>
    </r>
    <r>
      <rPr>
        <sz val="12"/>
        <rFont val="Times New Roman"/>
        <family val="1"/>
      </rPr>
      <t>=</t>
    </r>
  </si>
  <si>
    <r>
      <t>σ</t>
    </r>
    <r>
      <rPr>
        <vertAlign val="subscript"/>
        <sz val="12"/>
        <rFont val="Times New Roman"/>
        <family val="1"/>
      </rPr>
      <t xml:space="preserve">tb </t>
    </r>
    <r>
      <rPr>
        <sz val="12"/>
        <rFont val="Times New Roman"/>
        <family val="1"/>
      </rPr>
      <t>=</t>
    </r>
  </si>
  <si>
    <r>
      <t>σ</t>
    </r>
    <r>
      <rPr>
        <vertAlign val="subscript"/>
        <sz val="12"/>
        <rFont val="Times New Roman"/>
        <family val="1"/>
      </rPr>
      <t xml:space="preserve">min </t>
    </r>
    <r>
      <rPr>
        <sz val="12"/>
        <rFont val="Times New Roman"/>
        <family val="1"/>
      </rPr>
      <t>=</t>
    </r>
  </si>
  <si>
    <r>
      <t>b</t>
    </r>
    <r>
      <rPr>
        <vertAlign val="subscript"/>
        <sz val="12"/>
        <rFont val="Times New Roman"/>
        <family val="1"/>
      </rPr>
      <t>qu</t>
    </r>
    <r>
      <rPr>
        <sz val="12"/>
        <rFont val="Times New Roman"/>
        <family val="1"/>
      </rPr>
      <t xml:space="preserve"> =</t>
    </r>
  </si>
  <si>
    <r>
      <t>R</t>
    </r>
    <r>
      <rPr>
        <vertAlign val="superscript"/>
        <sz val="12"/>
        <rFont val="Times New Roman"/>
        <family val="1"/>
      </rPr>
      <t xml:space="preserve">tc </t>
    </r>
    <r>
      <rPr>
        <sz val="12"/>
        <rFont val="Times New Roman"/>
        <family val="1"/>
      </rPr>
      <t>= m(A x bqu x γ</t>
    </r>
    <r>
      <rPr>
        <vertAlign val="subscript"/>
        <sz val="12"/>
        <rFont val="Times New Roman"/>
        <family val="1"/>
      </rPr>
      <t xml:space="preserve">dm </t>
    </r>
    <r>
      <rPr>
        <sz val="12"/>
        <rFont val="Times New Roman"/>
        <family val="1"/>
      </rPr>
      <t>+ B x hy x γ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+C x D)</t>
    </r>
  </si>
  <si>
    <r>
      <t>M</t>
    </r>
    <r>
      <rPr>
        <vertAlign val="subscript"/>
        <sz val="12"/>
        <rFont val="Times New Roman"/>
        <family val="1"/>
      </rPr>
      <t>x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= M</t>
    </r>
    <r>
      <rPr>
        <vertAlign val="subscript"/>
        <sz val="12"/>
        <rFont val="Times New Roman"/>
        <family val="1"/>
      </rPr>
      <t>ox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 + Q</t>
    </r>
    <r>
      <rPr>
        <vertAlign val="subscript"/>
        <sz val="12"/>
        <rFont val="Times New Roman"/>
        <family val="1"/>
      </rPr>
      <t>oy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x H  =</t>
    </r>
  </si>
  <si>
    <r>
      <t>M</t>
    </r>
    <r>
      <rPr>
        <vertAlign val="subscript"/>
        <sz val="12"/>
        <rFont val="Times New Roman"/>
        <family val="1"/>
      </rPr>
      <t>y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= M</t>
    </r>
    <r>
      <rPr>
        <vertAlign val="subscript"/>
        <sz val="12"/>
        <rFont val="Times New Roman"/>
        <family val="1"/>
      </rPr>
      <t>oy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 + Q</t>
    </r>
    <r>
      <rPr>
        <vertAlign val="subscript"/>
        <sz val="12"/>
        <rFont val="Times New Roman"/>
        <family val="1"/>
      </rPr>
      <t>ox</t>
    </r>
    <r>
      <rPr>
        <vertAlign val="superscript"/>
        <sz val="12"/>
        <rFont val="Times New Roman"/>
        <family val="1"/>
      </rPr>
      <t>tc</t>
    </r>
    <r>
      <rPr>
        <sz val="12"/>
        <rFont val="Times New Roman"/>
        <family val="1"/>
      </rPr>
      <t xml:space="preserve"> x H  =</t>
    </r>
  </si>
  <si>
    <r>
      <t>σ</t>
    </r>
    <r>
      <rPr>
        <vertAlign val="subscript"/>
        <sz val="12"/>
        <rFont val="Times New Roman"/>
        <family val="1"/>
      </rPr>
      <t>o</t>
    </r>
    <r>
      <rPr>
        <sz val="12"/>
        <rFont val="Times New Roman"/>
        <family val="1"/>
      </rPr>
      <t xml:space="preserve"> =σ</t>
    </r>
    <r>
      <rPr>
        <vertAlign val="subscript"/>
        <sz val="12"/>
        <rFont val="Times New Roman"/>
        <family val="1"/>
      </rPr>
      <t>tb</t>
    </r>
    <r>
      <rPr>
        <sz val="12"/>
        <rFont val="Times New Roman"/>
        <family val="1"/>
      </rPr>
      <t>-γ x h =</t>
    </r>
  </si>
  <si>
    <r>
      <t>σ</t>
    </r>
    <r>
      <rPr>
        <vertAlign val="subscript"/>
        <sz val="12"/>
        <rFont val="Times New Roman"/>
        <family val="1"/>
      </rPr>
      <t>o</t>
    </r>
    <r>
      <rPr>
        <sz val="12"/>
        <rFont val="Times New Roman"/>
        <family val="1"/>
      </rPr>
      <t xml:space="preserve"> = </t>
    </r>
  </si>
  <si>
    <r>
      <t>Chiều sâu hết ảnh hưởng lún khi σ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≤ 0.2 </t>
    </r>
    <r>
      <rPr>
        <sz val="12"/>
        <rFont val="Arial"/>
        <family val="2"/>
      </rPr>
      <t>Σ</t>
    </r>
    <r>
      <rPr>
        <sz val="12"/>
        <rFont val="Times New Roman"/>
        <family val="1"/>
      </rPr>
      <t xml:space="preserve"> γ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x h</t>
    </r>
    <r>
      <rPr>
        <vertAlign val="subscript"/>
        <sz val="12"/>
        <rFont val="Times New Roman"/>
        <family val="1"/>
      </rPr>
      <t>i</t>
    </r>
  </si>
  <si>
    <r>
      <t>σ</t>
    </r>
    <r>
      <rPr>
        <vertAlign val="subscript"/>
        <sz val="12"/>
        <rFont val="Times New Roman"/>
        <family val="1"/>
      </rPr>
      <t xml:space="preserve">i </t>
    </r>
    <r>
      <rPr>
        <sz val="12"/>
        <rFont val="Times New Roman"/>
        <family val="1"/>
      </rPr>
      <t>= Kxσ</t>
    </r>
    <r>
      <rPr>
        <vertAlign val="subscript"/>
        <sz val="12"/>
        <rFont val="Times New Roman"/>
        <family val="1"/>
      </rPr>
      <t xml:space="preserve">o </t>
    </r>
    <r>
      <rPr>
        <sz val="12"/>
        <rFont val="Times New Roman"/>
        <family val="1"/>
      </rPr>
      <t>(T/m²)</t>
    </r>
  </si>
  <si>
    <r>
      <t>∑ γ</t>
    </r>
    <r>
      <rPr>
        <vertAlign val="subscript"/>
        <sz val="12"/>
        <rFont val="Times New Roman"/>
        <family val="1"/>
      </rPr>
      <t xml:space="preserve">i </t>
    </r>
    <r>
      <rPr>
        <sz val="12"/>
        <rFont val="Times New Roman"/>
        <family val="1"/>
      </rPr>
      <t>x h</t>
    </r>
    <r>
      <rPr>
        <vertAlign val="subscript"/>
        <sz val="12"/>
        <rFont val="Times New Roman"/>
        <family val="1"/>
      </rPr>
      <t xml:space="preserve">i </t>
    </r>
    <r>
      <rPr>
        <sz val="12"/>
        <rFont val="Times New Roman"/>
        <family val="1"/>
      </rPr>
      <t>(T/m²)</t>
    </r>
  </si>
  <si>
    <r>
      <t>s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
(mm)</t>
    </r>
  </si>
  <si>
    <r>
      <rPr>
        <sz val="12"/>
        <rFont val="Symbol"/>
        <family val="1"/>
        <charset val="2"/>
      </rPr>
      <t>s</t>
    </r>
    <r>
      <rPr>
        <vertAlign val="subscript"/>
        <sz val="12"/>
        <rFont val="Times New Roman"/>
        <family val="1"/>
      </rPr>
      <t xml:space="preserve">bt </t>
    </r>
    <r>
      <rPr>
        <sz val="12"/>
        <rFont val="Times New Roman"/>
        <family val="1"/>
      </rPr>
      <t xml:space="preserve">/ </t>
    </r>
    <r>
      <rPr>
        <sz val="12"/>
        <rFont val="Symbol"/>
        <family val="1"/>
        <charset val="2"/>
      </rPr>
      <t>s</t>
    </r>
    <r>
      <rPr>
        <vertAlign val="subscript"/>
        <sz val="12"/>
        <rFont val="Times New Roman"/>
        <family val="1"/>
      </rPr>
      <t>gl</t>
    </r>
    <r>
      <rPr>
        <sz val="12"/>
        <rFont val="Times New Roman"/>
        <family val="1"/>
      </rPr>
      <t xml:space="preserve">  &gt;</t>
    </r>
  </si>
  <si>
    <r>
      <t>σ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= </t>
    </r>
  </si>
  <si>
    <r>
      <t>&lt; 0.1xΣ γ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x h</t>
    </r>
    <r>
      <rPr>
        <vertAlign val="subscript"/>
        <sz val="12"/>
        <rFont val="Times New Roman"/>
        <family val="1"/>
      </rPr>
      <t xml:space="preserve">i  </t>
    </r>
    <r>
      <rPr>
        <sz val="12"/>
        <rFont val="Times New Roman"/>
        <family val="1"/>
      </rPr>
      <t>=</t>
    </r>
  </si>
  <si>
    <r>
      <t>Môdun biến dạng trung bình  E</t>
    </r>
    <r>
      <rPr>
        <vertAlign val="subscript"/>
        <sz val="12"/>
        <rFont val="Times New Roman"/>
        <family val="1"/>
      </rPr>
      <t>tb</t>
    </r>
  </si>
  <si>
    <r>
      <t>E</t>
    </r>
    <r>
      <rPr>
        <vertAlign val="subscript"/>
        <sz val="12"/>
        <rFont val="Times New Roman"/>
        <family val="1"/>
      </rPr>
      <t>tb</t>
    </r>
    <r>
      <rPr>
        <sz val="12"/>
        <rFont val="Times New Roman"/>
        <family val="1"/>
      </rPr>
      <t xml:space="preserve"> =</t>
    </r>
  </si>
  <si>
    <r>
      <t>tgθ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 xml:space="preserve"> = </t>
    </r>
  </si>
  <si>
    <r>
      <t>K</t>
    </r>
    <r>
      <rPr>
        <vertAlign val="subscript"/>
        <sz val="11"/>
        <rFont val="Times New Roman"/>
        <family val="1"/>
      </rPr>
      <t>x</t>
    </r>
    <r>
      <rPr>
        <sz val="11"/>
        <rFont val="Times New Roman"/>
        <family val="1"/>
      </rPr>
      <t>(1-µ</t>
    </r>
    <r>
      <rPr>
        <vertAlign val="subscript"/>
        <sz val="11"/>
        <rFont val="Times New Roman"/>
        <family val="1"/>
      </rPr>
      <t>tb</t>
    </r>
    <r>
      <rPr>
        <sz val="11"/>
        <rFont val="Times New Roman"/>
        <family val="1"/>
      </rPr>
      <t>²)M</t>
    </r>
    <r>
      <rPr>
        <vertAlign val="subscript"/>
        <sz val="11"/>
        <rFont val="Times New Roman"/>
        <family val="1"/>
      </rPr>
      <t>y</t>
    </r>
    <r>
      <rPr>
        <vertAlign val="superscript"/>
        <sz val="11"/>
        <rFont val="Times New Roman"/>
        <family val="1"/>
      </rPr>
      <t>tc</t>
    </r>
  </si>
  <si>
    <r>
      <t>E</t>
    </r>
    <r>
      <rPr>
        <vertAlign val="subscript"/>
        <sz val="11"/>
        <rFont val="Times New Roman"/>
        <family val="1"/>
      </rPr>
      <t>tb</t>
    </r>
    <r>
      <rPr>
        <sz val="11"/>
        <rFont val="Times New Roman"/>
        <family val="1"/>
      </rPr>
      <t>(B/2)³</t>
    </r>
  </si>
  <si>
    <r>
      <t>=&gt; P</t>
    </r>
    <r>
      <rPr>
        <vertAlign val="sub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 =</t>
    </r>
  </si>
  <si>
    <r>
      <t>=&gt; P</t>
    </r>
    <r>
      <rPr>
        <vertAlign val="subscript"/>
        <sz val="12"/>
        <rFont val="Times New Roman"/>
        <family val="1"/>
      </rPr>
      <t>p</t>
    </r>
    <r>
      <rPr>
        <sz val="12"/>
        <rFont val="Times New Roman"/>
        <family val="1"/>
      </rPr>
      <t xml:space="preserve"> =</t>
    </r>
  </si>
  <si>
    <r>
      <t>T= Q</t>
    </r>
    <r>
      <rPr>
        <vertAlign val="subscript"/>
        <sz val="12"/>
        <rFont val="Times New Roman"/>
        <family val="1"/>
      </rPr>
      <t>x</t>
    </r>
    <r>
      <rPr>
        <sz val="12"/>
        <rFont val="Times New Roman"/>
        <family val="1"/>
      </rPr>
      <t>+P</t>
    </r>
    <r>
      <rPr>
        <vertAlign val="subscript"/>
        <sz val="12"/>
        <rFont val="Times New Roman"/>
        <family val="1"/>
      </rPr>
      <t>a</t>
    </r>
    <r>
      <rPr>
        <sz val="12"/>
        <rFont val="Times New Roman"/>
        <family val="1"/>
      </rPr>
      <t>=</t>
    </r>
  </si>
  <si>
    <r>
      <t>N</t>
    </r>
    <r>
      <rPr>
        <vertAlign val="superscript"/>
        <sz val="12"/>
        <color theme="1"/>
        <rFont val="Times New Roman"/>
        <family val="1"/>
      </rPr>
      <t>tt</t>
    </r>
    <r>
      <rPr>
        <sz val="12"/>
        <color theme="1"/>
        <rFont val="Times New Roman"/>
        <family val="1"/>
      </rPr>
      <t>: Tổng tải trọng thẳng đứng tác dụng tại đáy</t>
    </r>
  </si>
  <si>
    <r>
      <t>n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: hệ số vượt tải của tải trọng thằng đứng(n&lt;1), Chọn n</t>
    </r>
    <r>
      <rPr>
        <vertAlign val="subscript"/>
        <sz val="12"/>
        <color theme="1"/>
        <rFont val="Times New Roman"/>
        <family val="1"/>
      </rPr>
      <t>0</t>
    </r>
    <r>
      <rPr>
        <sz val="12"/>
        <color theme="1"/>
        <rFont val="Times New Roman"/>
        <family val="1"/>
      </rPr>
      <t>=0.9</t>
    </r>
  </si>
  <si>
    <t xml:space="preserve">Điều kiện k = </t>
  </si>
  <si>
    <t>M nhip</t>
  </si>
  <si>
    <t>Chú ý: có Ao hay ko, nếu có ghi Ao vào ô V3, Không có thì xóa ô V3 đi</t>
  </si>
  <si>
    <t>h=h1+h2+h3=</t>
  </si>
  <si>
    <t>Cách đáy móng</t>
  </si>
  <si>
    <t>MÃ DỰ ÁN:</t>
  </si>
  <si>
    <t>Luôn kiểm tra mã dự án</t>
  </si>
  <si>
    <t>GIAI ĐOẠN TK</t>
  </si>
  <si>
    <t>Chú ý chọn giai đoạn TK vì liên quan đến khối lượng</t>
  </si>
  <si>
    <t>Nếu cột đỡ thì nhân hệ số 0,2 cột néo nhân hệ số 0,5</t>
  </si>
  <si>
    <t>giá trị tính toán thường xuyên TC khi nhân hs</t>
  </si>
  <si>
    <t>B: Chiều rộng móng</t>
  </si>
  <si>
    <t>L:Chiều dài móng</t>
  </si>
  <si>
    <t>Lớp 1</t>
  </si>
  <si>
    <t>TKBVTC</t>
  </si>
  <si>
    <t>18105TBH.T.I3.C2.2.</t>
  </si>
  <si>
    <r>
      <t>M</t>
    </r>
    <r>
      <rPr>
        <vertAlign val="subscript"/>
        <sz val="11.5"/>
        <rFont val="Times New Roman"/>
        <family val="1"/>
      </rPr>
      <t>y</t>
    </r>
    <r>
      <rPr>
        <vertAlign val="superscript"/>
        <sz val="11.5"/>
        <rFont val="Times New Roman"/>
        <family val="1"/>
      </rPr>
      <t xml:space="preserve">tc </t>
    </r>
    <r>
      <rPr>
        <sz val="11.5"/>
        <rFont val="Times New Roman"/>
        <family val="1"/>
      </rPr>
      <t>= M</t>
    </r>
    <r>
      <rPr>
        <vertAlign val="subscript"/>
        <sz val="11.5"/>
        <rFont val="Times New Roman"/>
        <family val="1"/>
      </rPr>
      <t>oy</t>
    </r>
    <r>
      <rPr>
        <vertAlign val="superscript"/>
        <sz val="11.5"/>
        <rFont val="Times New Roman"/>
        <family val="1"/>
      </rPr>
      <t xml:space="preserve">tc </t>
    </r>
    <r>
      <rPr>
        <sz val="11.5"/>
        <rFont val="Times New Roman"/>
        <family val="1"/>
      </rPr>
      <t>+ Q</t>
    </r>
    <r>
      <rPr>
        <vertAlign val="subscript"/>
        <sz val="11.5"/>
        <rFont val="Times New Roman"/>
        <family val="1"/>
      </rPr>
      <t>ox</t>
    </r>
    <r>
      <rPr>
        <vertAlign val="superscript"/>
        <sz val="11.5"/>
        <rFont val="Times New Roman"/>
        <family val="1"/>
      </rPr>
      <t xml:space="preserve">tc </t>
    </r>
    <r>
      <rPr>
        <sz val="11.5"/>
        <rFont val="Times New Roman"/>
        <family val="1"/>
      </rPr>
      <t>x H - Mđđ =</t>
    </r>
  </si>
  <si>
    <t>f: hệ số ma sát giữa đất và nền phụ thuộc vào độ nhám của đáy móng và loại đất,</t>
  </si>
  <si>
    <t>Q=</t>
  </si>
  <si>
    <r>
      <t>I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= </t>
    </r>
  </si>
  <si>
    <r>
      <t>I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=  µbho(0.5h-a)²</t>
    </r>
  </si>
  <si>
    <r>
      <t xml:space="preserve"> k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=</t>
    </r>
  </si>
  <si>
    <t xml:space="preserve">I = </t>
  </si>
  <si>
    <t>I =  bh³/12</t>
  </si>
  <si>
    <r>
      <t>j</t>
    </r>
    <r>
      <rPr>
        <vertAlign val="subscript"/>
        <sz val="12"/>
        <rFont val="Times New Roman"/>
        <family val="1"/>
      </rPr>
      <t>L</t>
    </r>
    <r>
      <rPr>
        <sz val="12"/>
        <rFont val="Times New Roman"/>
        <family val="1"/>
      </rPr>
      <t>=1+M</t>
    </r>
    <r>
      <rPr>
        <vertAlign val="subscript"/>
        <sz val="12"/>
        <rFont val="Times New Roman"/>
        <family val="1"/>
      </rPr>
      <t>L1</t>
    </r>
    <r>
      <rPr>
        <sz val="12"/>
        <rFont val="Times New Roman"/>
        <family val="1"/>
      </rPr>
      <t>/M</t>
    </r>
    <r>
      <rPr>
        <vertAlign val="subscript"/>
        <sz val="12"/>
        <rFont val="Times New Roman"/>
        <family val="1"/>
      </rPr>
      <t xml:space="preserve">L </t>
    </r>
    <r>
      <rPr>
        <sz val="12"/>
        <rFont val="Times New Roman"/>
        <family val="1"/>
      </rPr>
      <t>=</t>
    </r>
  </si>
  <si>
    <r>
      <t>E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=</t>
    </r>
  </si>
  <si>
    <r>
      <t>k</t>
    </r>
    <r>
      <rPr>
        <vertAlign val="subscript"/>
        <sz val="12"/>
        <rFont val="Times New Roman"/>
        <family val="1"/>
      </rPr>
      <t>b</t>
    </r>
    <r>
      <rPr>
        <sz val="12"/>
        <rFont val="Times New Roman"/>
        <family val="1"/>
      </rPr>
      <t>=0.15/(</t>
    </r>
    <r>
      <rPr>
        <sz val="12"/>
        <rFont val="Symbol"/>
        <family val="1"/>
        <charset val="2"/>
      </rPr>
      <t>j</t>
    </r>
    <r>
      <rPr>
        <sz val="12"/>
        <rFont val="Times New Roman"/>
        <family val="1"/>
      </rPr>
      <t>L.(0.3+ẟe))=</t>
    </r>
  </si>
  <si>
    <r>
      <t>E</t>
    </r>
    <r>
      <rPr>
        <vertAlign val="sub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 =</t>
    </r>
  </si>
  <si>
    <r>
      <t>D = k</t>
    </r>
    <r>
      <rPr>
        <vertAlign val="subscript"/>
        <sz val="12"/>
        <rFont val="Times New Roman"/>
        <family val="1"/>
      </rPr>
      <t>b</t>
    </r>
    <r>
      <rPr>
        <sz val="12"/>
        <rFont val="Times New Roman"/>
        <family val="1"/>
      </rPr>
      <t>E</t>
    </r>
    <r>
      <rPr>
        <vertAlign val="subscript"/>
        <sz val="12"/>
        <rFont val="Times New Roman"/>
        <family val="1"/>
      </rPr>
      <t>b</t>
    </r>
    <r>
      <rPr>
        <sz val="12"/>
        <rFont val="Times New Roman"/>
        <family val="1"/>
      </rPr>
      <t>I + k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>E</t>
    </r>
    <r>
      <rPr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>I</t>
    </r>
    <r>
      <rPr>
        <vertAlign val="subscript"/>
        <sz val="12"/>
        <rFont val="Times New Roman"/>
        <family val="1"/>
      </rPr>
      <t xml:space="preserve">s </t>
    </r>
    <r>
      <rPr>
        <sz val="12"/>
        <rFont val="Times New Roman"/>
        <family val="1"/>
      </rPr>
      <t>=</t>
    </r>
  </si>
  <si>
    <t>(T.m²)</t>
  </si>
  <si>
    <r>
      <t>N</t>
    </r>
    <r>
      <rPr>
        <vertAlign val="subscript"/>
        <sz val="12"/>
        <rFont val="Times New Roman"/>
        <family val="1"/>
      </rPr>
      <t>cr</t>
    </r>
    <r>
      <rPr>
        <sz val="12"/>
        <rFont val="Times New Roman"/>
        <family val="1"/>
      </rPr>
      <t>=π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.D/L</t>
    </r>
    <r>
      <rPr>
        <vertAlign val="subscript"/>
        <sz val="12"/>
        <rFont val="Times New Roman"/>
        <family val="1"/>
      </rPr>
      <t>o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=</t>
    </r>
  </si>
  <si>
    <r>
      <t>η = 1/(1-N/N</t>
    </r>
    <r>
      <rPr>
        <vertAlign val="subscript"/>
        <sz val="12"/>
        <rFont val="Times New Roman"/>
        <family val="1"/>
      </rPr>
      <t>cr</t>
    </r>
    <r>
      <rPr>
        <sz val="12"/>
        <rFont val="Times New Roman"/>
        <family val="1"/>
      </rPr>
      <t>)</t>
    </r>
  </si>
  <si>
    <t>TBA-1</t>
  </si>
  <si>
    <t xml:space="preserve">ĐƯỜNG DÂY 22kV </t>
  </si>
  <si>
    <r>
      <t>h</t>
    </r>
    <r>
      <rPr>
        <vertAlign val="subscript"/>
        <sz val="12"/>
        <rFont val="Times New Roman"/>
        <family val="1"/>
        <charset val="163"/>
      </rPr>
      <t>b</t>
    </r>
    <r>
      <rPr>
        <sz val="12"/>
        <rFont val="Times New Roman"/>
        <family val="1"/>
      </rPr>
      <t xml:space="preserve"> =</t>
    </r>
  </si>
  <si>
    <r>
      <t>h</t>
    </r>
    <r>
      <rPr>
        <vertAlign val="subscript"/>
        <sz val="12"/>
        <rFont val="Times New Roman"/>
        <family val="1"/>
        <charset val="163"/>
      </rPr>
      <t>v</t>
    </r>
    <r>
      <rPr>
        <sz val="12"/>
        <rFont val="Times New Roman"/>
        <family val="1"/>
      </rPr>
      <t xml:space="preserve"> =</t>
    </r>
  </si>
  <si>
    <r>
      <t>la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=</t>
    </r>
  </si>
  <si>
    <r>
      <t>la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=</t>
    </r>
  </si>
  <si>
    <r>
      <t>lb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=</t>
    </r>
  </si>
  <si>
    <r>
      <t>lb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=</t>
    </r>
  </si>
  <si>
    <t>b. Kiểm tra khả năng chịu cắt của sàn</t>
  </si>
  <si>
    <t>a. Tính theo bản conson theo 2 phương</t>
  </si>
  <si>
    <t>Mômen tại tiết diện chân cột</t>
  </si>
  <si>
    <t>Tải trọng quy tâm</t>
  </si>
  <si>
    <r>
      <t>Bê tông đối trọng V</t>
    </r>
    <r>
      <rPr>
        <vertAlign val="subscript"/>
        <sz val="12"/>
        <rFont val="Times New Roman"/>
        <family val="1"/>
      </rPr>
      <t>bt</t>
    </r>
    <r>
      <rPr>
        <sz val="12"/>
        <rFont val="Times New Roman"/>
        <family val="1"/>
      </rPr>
      <t xml:space="preserve"> =</t>
    </r>
  </si>
  <si>
    <r>
      <t>m</t>
    </r>
    <r>
      <rPr>
        <vertAlign val="subscript"/>
        <sz val="12"/>
        <rFont val="Times New Roman"/>
        <family val="1"/>
        <charset val="163"/>
      </rPr>
      <t>1</t>
    </r>
    <r>
      <rPr>
        <sz val="12"/>
        <rFont val="Times New Roman"/>
        <family val="1"/>
      </rPr>
      <t xml:space="preserve"> =</t>
    </r>
  </si>
  <si>
    <r>
      <t>m</t>
    </r>
    <r>
      <rPr>
        <vertAlign val="subscript"/>
        <sz val="12"/>
        <rFont val="Times New Roman"/>
        <family val="1"/>
        <charset val="163"/>
      </rPr>
      <t>2</t>
    </r>
    <r>
      <rPr>
        <sz val="12"/>
        <rFont val="Times New Roman"/>
        <family val="1"/>
      </rPr>
      <t xml:space="preserve"> =</t>
    </r>
  </si>
  <si>
    <r>
      <t>k</t>
    </r>
    <r>
      <rPr>
        <vertAlign val="subscript"/>
        <sz val="12"/>
        <rFont val="Times New Roman"/>
        <family val="1"/>
        <charset val="163"/>
      </rPr>
      <t>tc</t>
    </r>
    <r>
      <rPr>
        <sz val="12"/>
        <rFont val="Times New Roman"/>
        <family val="1"/>
      </rPr>
      <t xml:space="preserve"> =</t>
    </r>
  </si>
  <si>
    <r>
      <t>R</t>
    </r>
    <r>
      <rPr>
        <vertAlign val="subscript"/>
        <sz val="12"/>
        <rFont val="Times New Roman"/>
        <family val="1"/>
        <charset val="163"/>
      </rPr>
      <t>tc</t>
    </r>
    <r>
      <rPr>
        <sz val="12"/>
        <rFont val="Times New Roman"/>
        <family val="1"/>
      </rPr>
      <t xml:space="preserve"> =</t>
    </r>
  </si>
  <si>
    <r>
      <t>(T/m²) &lt;   R</t>
    </r>
    <r>
      <rPr>
        <vertAlign val="subscript"/>
        <sz val="12"/>
        <rFont val="Times New Roman"/>
        <family val="1"/>
        <charset val="163"/>
      </rPr>
      <t>tc</t>
    </r>
    <r>
      <rPr>
        <sz val="12"/>
        <rFont val="Times New Roman"/>
        <family val="1"/>
      </rPr>
      <t xml:space="preserve">  =</t>
    </r>
  </si>
  <si>
    <r>
      <t>(T/m²) &lt; 1.2R</t>
    </r>
    <r>
      <rPr>
        <vertAlign val="subscript"/>
        <sz val="12"/>
        <rFont val="Times New Roman"/>
        <family val="1"/>
        <charset val="163"/>
      </rPr>
      <t>tc</t>
    </r>
    <r>
      <rPr>
        <sz val="12"/>
        <rFont val="Times New Roman"/>
        <family val="1"/>
      </rPr>
      <t xml:space="preserve"> =</t>
    </r>
  </si>
  <si>
    <t>&gt; 0</t>
  </si>
  <si>
    <r>
      <t>&lt; R</t>
    </r>
    <r>
      <rPr>
        <vertAlign val="subscript"/>
        <sz val="12"/>
        <rFont val="Times New Roman"/>
        <family val="1"/>
        <charset val="163"/>
      </rPr>
      <t>tc</t>
    </r>
    <r>
      <rPr>
        <sz val="12"/>
        <rFont val="Times New Roman"/>
        <family val="1"/>
      </rPr>
      <t xml:space="preserve">  =</t>
    </r>
  </si>
  <si>
    <r>
      <t>&lt; 1.2R</t>
    </r>
    <r>
      <rPr>
        <vertAlign val="subscript"/>
        <sz val="12"/>
        <rFont val="Times New Roman"/>
        <family val="1"/>
        <charset val="163"/>
      </rPr>
      <t>tc</t>
    </r>
    <r>
      <rPr>
        <sz val="12"/>
        <rFont val="Times New Roman"/>
        <family val="1"/>
      </rPr>
      <t xml:space="preserve"> =</t>
    </r>
  </si>
  <si>
    <r>
      <t>L</t>
    </r>
    <r>
      <rPr>
        <vertAlign val="subscript"/>
        <sz val="12"/>
        <rFont val="Times New Roman"/>
        <family val="1"/>
        <charset val="163"/>
      </rPr>
      <t>qu</t>
    </r>
    <r>
      <rPr>
        <sz val="12"/>
        <rFont val="Times New Roman"/>
        <family val="1"/>
      </rPr>
      <t xml:space="preserve"> =</t>
    </r>
  </si>
  <si>
    <r>
      <t>H</t>
    </r>
    <r>
      <rPr>
        <vertAlign val="subscript"/>
        <sz val="12"/>
        <rFont val="Times New Roman"/>
        <family val="1"/>
        <charset val="163"/>
      </rPr>
      <t>qu</t>
    </r>
    <r>
      <rPr>
        <sz val="12"/>
        <rFont val="Times New Roman"/>
        <family val="1"/>
      </rPr>
      <t xml:space="preserve"> =</t>
    </r>
  </si>
  <si>
    <r>
      <t>Wy</t>
    </r>
    <r>
      <rPr>
        <vertAlign val="subscript"/>
        <sz val="12"/>
        <rFont val="Times New Roman"/>
        <family val="1"/>
        <charset val="163"/>
      </rPr>
      <t>qu</t>
    </r>
    <r>
      <rPr>
        <sz val="12"/>
        <rFont val="Times New Roman"/>
        <family val="1"/>
      </rPr>
      <t xml:space="preserve"> =</t>
    </r>
  </si>
  <si>
    <r>
      <t>Wx</t>
    </r>
    <r>
      <rPr>
        <vertAlign val="subscript"/>
        <sz val="12"/>
        <rFont val="Times New Roman"/>
        <family val="1"/>
        <charset val="163"/>
      </rPr>
      <t xml:space="preserve">qu </t>
    </r>
    <r>
      <rPr>
        <sz val="12"/>
        <rFont val="Times New Roman"/>
        <family val="1"/>
      </rPr>
      <t>=</t>
    </r>
  </si>
  <si>
    <t>2. Kiểm tra khả năng chịu tải của nền</t>
  </si>
  <si>
    <t>2.1 Kiểm tra khả năng chịu tải của đất nền dưới đáy móng</t>
  </si>
  <si>
    <t>2.2 Kiểm tra khả năng chịu tải của nền dưới đáy đệm cát</t>
  </si>
  <si>
    <t>3. Kiểm tra nền móng theo trạng thái giới hạn 2</t>
  </si>
  <si>
    <t>4. Tính toán khả năng chống trượt và chống lật của móng</t>
  </si>
  <si>
    <t>4.1 Tính toán khả năng chống trượt</t>
  </si>
  <si>
    <t>4.2 Tính toán khả năng chống lật</t>
  </si>
  <si>
    <r>
      <t>R</t>
    </r>
    <r>
      <rPr>
        <vertAlign val="subscript"/>
        <sz val="12"/>
        <rFont val="Times New Roman"/>
        <family val="1"/>
        <charset val="163"/>
      </rPr>
      <t>tc</t>
    </r>
    <r>
      <rPr>
        <vertAlign val="superscript"/>
        <sz val="12"/>
        <rFont val="Times New Roman"/>
        <family val="1"/>
      </rPr>
      <t xml:space="preserve"> </t>
    </r>
    <r>
      <rPr>
        <sz val="12"/>
        <rFont val="Times New Roman"/>
        <family val="1"/>
      </rPr>
      <t>= m(A x b x γ</t>
    </r>
    <r>
      <rPr>
        <vertAlign val="subscript"/>
        <sz val="12"/>
        <rFont val="Times New Roman"/>
        <family val="1"/>
      </rPr>
      <t xml:space="preserve">dm </t>
    </r>
    <r>
      <rPr>
        <sz val="12"/>
        <rFont val="Times New Roman"/>
        <family val="1"/>
      </rPr>
      <t>+ B x h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x γ</t>
    </r>
    <r>
      <rPr>
        <vertAlign val="subscript"/>
        <sz val="12"/>
        <rFont val="Times New Roman"/>
        <family val="1"/>
      </rPr>
      <t>i</t>
    </r>
    <r>
      <rPr>
        <sz val="12"/>
        <rFont val="Times New Roman"/>
        <family val="1"/>
      </rPr>
      <t xml:space="preserve"> +C x D)</t>
    </r>
  </si>
  <si>
    <t>Á sét</t>
  </si>
  <si>
    <t>Sét</t>
  </si>
  <si>
    <t>Loại móng:</t>
  </si>
  <si>
    <t>KIỂM TRA KẾT CẤU MÓNG</t>
  </si>
  <si>
    <t xml:space="preserve">Vị trí: </t>
  </si>
  <si>
    <t>KIỂM TRA NỀN MÓNG</t>
  </si>
  <si>
    <r>
      <t>f</t>
    </r>
    <r>
      <rPr>
        <sz val="10"/>
        <rFont val="Times New Roman"/>
        <family val="1"/>
      </rPr>
      <t xml:space="preserve"> (mm)</t>
    </r>
  </si>
  <si>
    <r>
      <t>dtích (cm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</si>
  <si>
    <t>TL/m (kg)</t>
  </si>
  <si>
    <r>
      <t>E</t>
    </r>
    <r>
      <rPr>
        <vertAlign val="subscript"/>
        <sz val="12"/>
        <rFont val="Times New Roman"/>
        <family val="1"/>
      </rPr>
      <t xml:space="preserve">i 
</t>
    </r>
    <r>
      <rPr>
        <sz val="12"/>
        <rFont val="Times New Roman"/>
        <family val="1"/>
      </rPr>
      <t>(T/m</t>
    </r>
    <r>
      <rPr>
        <vertAlign val="superscript"/>
        <sz val="12"/>
        <rFont val="Times New Roman"/>
        <family val="1"/>
        <charset val="163"/>
      </rPr>
      <t>2</t>
    </r>
    <r>
      <rPr>
        <sz val="12"/>
        <rFont val="Times New Roman"/>
        <family val="1"/>
      </rPr>
      <t>)</t>
    </r>
  </si>
  <si>
    <t>z 
(m)</t>
  </si>
  <si>
    <t xml:space="preserve">NHÀ MÁY ĐIỆN GIÓ </t>
  </si>
  <si>
    <t>D411-25</t>
  </si>
  <si>
    <r>
      <t>H= H</t>
    </r>
    <r>
      <rPr>
        <vertAlign val="subscript"/>
        <sz val="12"/>
        <rFont val="Times New Roman"/>
        <family val="1"/>
      </rPr>
      <t>1</t>
    </r>
    <r>
      <rPr>
        <sz val="12"/>
        <rFont val="Times New Roman"/>
        <family val="1"/>
      </rPr>
      <t xml:space="preserve"> + 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=</t>
    </r>
  </si>
  <si>
    <t>Bê tông móng:</t>
  </si>
  <si>
    <t>Bê tông lót:</t>
  </si>
  <si>
    <t>Hệ số mở mái</t>
  </si>
  <si>
    <t>Mở rộng đáy hố đào</t>
  </si>
  <si>
    <r>
      <t xml:space="preserve">h </t>
    </r>
    <r>
      <rPr>
        <vertAlign val="subscript"/>
        <sz val="12"/>
        <rFont val="Times New Roman"/>
        <family val="1"/>
      </rPr>
      <t>đệm cát</t>
    </r>
  </si>
  <si>
    <t>Bu lông neo</t>
  </si>
  <si>
    <t>BLN-</t>
  </si>
  <si>
    <t>M36-250</t>
  </si>
  <si>
    <t>Giai đoạn thiết kế</t>
  </si>
  <si>
    <t>HÌNH THỨC MÓNG CỘT</t>
  </si>
  <si>
    <t>MÓNG</t>
  </si>
  <si>
    <t>Thép bản móng</t>
  </si>
  <si>
    <t>Lớp dưới</t>
  </si>
  <si>
    <t>Lớp trên</t>
  </si>
  <si>
    <t>đường kính</t>
  </si>
  <si>
    <t>bước thép</t>
  </si>
  <si>
    <t>Thép chống</t>
  </si>
  <si>
    <t>Thép cổ móng</t>
  </si>
  <si>
    <t>Thép chủ</t>
  </si>
  <si>
    <t>số lượng/ bước thép</t>
  </si>
  <si>
    <t>Thép đai</t>
  </si>
  <si>
    <t>Đai phụ</t>
  </si>
  <si>
    <t xml:space="preserve">THỐNG KÊ MÓNG </t>
  </si>
  <si>
    <t>BẢNG TỔNG HỢP VẬT LIỆU MÓNG (01 MÓNG)</t>
  </si>
  <si>
    <t>Tên công trình:</t>
  </si>
  <si>
    <t>OUTPUT 1:</t>
  </si>
  <si>
    <t>BẢNG KÊ KHỐI LƯỢNG</t>
  </si>
  <si>
    <t>THỂ TÍCH BÊ TÔNG (m³)</t>
  </si>
  <si>
    <t>KHỐI LƯỢNG CỐT THÉP (kg)</t>
  </si>
  <si>
    <t>TỔNG K.LƯỢNG
THÉP
(kg)</t>
  </si>
  <si>
    <t>BU LÔNG 
NEO 
(bộ)</t>
  </si>
  <si>
    <t>Hạng mục:</t>
  </si>
  <si>
    <t xml:space="preserve">Móng </t>
  </si>
  <si>
    <t>Cột:</t>
  </si>
  <si>
    <t>ĐƠN VỊ</t>
  </si>
  <si>
    <t>K.LƯỢNG</t>
  </si>
  <si>
    <t>Cột</t>
  </si>
  <si>
    <t>Móng</t>
  </si>
  <si>
    <t>B20 (M250)</t>
  </si>
  <si>
    <t>B7.5 (M100)</t>
  </si>
  <si>
    <t>Ø8</t>
  </si>
  <si>
    <t>Ø12</t>
  </si>
  <si>
    <t>Ø16</t>
  </si>
  <si>
    <t>Ø20</t>
  </si>
  <si>
    <t>Đất đào</t>
  </si>
  <si>
    <t>Đất đắp</t>
  </si>
  <si>
    <t>Cốp pha</t>
  </si>
  <si>
    <t>BÊ TÔNG LÓT MÓNG ĐÁ 4x6 MÁC 100</t>
  </si>
  <si>
    <r>
      <t>m</t>
    </r>
    <r>
      <rPr>
        <vertAlign val="superscript"/>
        <sz val="10"/>
        <rFont val="Times New Roman"/>
        <family val="1"/>
      </rPr>
      <t>3</t>
    </r>
  </si>
  <si>
    <t>-</t>
  </si>
  <si>
    <t>16 M36</t>
  </si>
  <si>
    <t>BÊ TÔNG CẤU KIỆN ĐÁ 2x4 MÁC 200</t>
  </si>
  <si>
    <t>1 trụ</t>
  </si>
  <si>
    <t>hết móng</t>
  </si>
  <si>
    <t>ĐÀI CỌC</t>
  </si>
  <si>
    <t>CỔ MÓNG</t>
  </si>
  <si>
    <t>INPUT</t>
  </si>
  <si>
    <t>CỐT THÉP TRÒN CÁC LOẠI</t>
  </si>
  <si>
    <t>c =</t>
  </si>
  <si>
    <t>Kích thước móng</t>
  </si>
  <si>
    <t>Ghi chú</t>
  </si>
  <si>
    <t>bộ</t>
  </si>
  <si>
    <t>d =</t>
  </si>
  <si>
    <r>
      <t>B</t>
    </r>
    <r>
      <rPr>
        <b/>
        <vertAlign val="subscript"/>
        <sz val="10"/>
        <rFont val="Times New Roman"/>
        <family val="1"/>
      </rPr>
      <t>m</t>
    </r>
    <r>
      <rPr>
        <b/>
        <sz val="10"/>
        <rFont val="Times New Roman"/>
        <family val="1"/>
      </rPr>
      <t xml:space="preserve"> =</t>
    </r>
  </si>
  <si>
    <t>dọc theo phương chịu lực</t>
  </si>
  <si>
    <t xml:space="preserve">ĐẤT ĐÀO </t>
  </si>
  <si>
    <r>
      <t>L</t>
    </r>
    <r>
      <rPr>
        <b/>
        <vertAlign val="subscript"/>
        <sz val="10"/>
        <rFont val="Times New Roman"/>
        <family val="1"/>
      </rPr>
      <t xml:space="preserve">m </t>
    </r>
    <r>
      <rPr>
        <b/>
        <sz val="10"/>
        <rFont val="Times New Roman"/>
        <family val="1"/>
      </rPr>
      <t>=</t>
    </r>
  </si>
  <si>
    <t>vuông góc với phương chịu lực</t>
  </si>
  <si>
    <t>ĐẤT ĐẮP</t>
  </si>
  <si>
    <r>
      <t>H</t>
    </r>
    <r>
      <rPr>
        <b/>
        <vertAlign val="subscript"/>
        <sz val="10"/>
        <rFont val="Times New Roman"/>
        <family val="1"/>
      </rPr>
      <t xml:space="preserve">m </t>
    </r>
    <r>
      <rPr>
        <b/>
        <sz val="10"/>
        <rFont val="Times New Roman"/>
        <family val="1"/>
      </rPr>
      <t>=</t>
    </r>
  </si>
  <si>
    <t>chiều sâu chôn móng</t>
  </si>
  <si>
    <t>ch.cao cổ móng tính từ mặt đất</t>
  </si>
  <si>
    <r>
      <t>B</t>
    </r>
    <r>
      <rPr>
        <b/>
        <vertAlign val="subscript"/>
        <sz val="10"/>
        <rFont val="Times New Roman"/>
        <family val="1"/>
      </rPr>
      <t>t</t>
    </r>
    <r>
      <rPr>
        <b/>
        <sz val="10"/>
        <rFont val="Times New Roman"/>
        <family val="1"/>
      </rPr>
      <t xml:space="preserve"> =</t>
    </r>
  </si>
  <si>
    <t>khoảng cách trục móng</t>
  </si>
  <si>
    <t>OUTPUT 2:</t>
  </si>
  <si>
    <t>BẢNG KÊ THÉP (CHO 1 BẢN MÓNG)</t>
  </si>
  <si>
    <r>
      <t>b</t>
    </r>
    <r>
      <rPr>
        <b/>
        <vertAlign val="subscript"/>
        <sz val="10"/>
        <rFont val="Times New Roman"/>
        <family val="1"/>
      </rPr>
      <t>c</t>
    </r>
    <r>
      <rPr>
        <b/>
        <sz val="10"/>
        <rFont val="Times New Roman"/>
        <family val="1"/>
      </rPr>
      <t xml:space="preserve"> = h</t>
    </r>
    <r>
      <rPr>
        <b/>
        <vertAlign val="subscript"/>
        <sz val="10"/>
        <rFont val="Times New Roman"/>
        <family val="1"/>
      </rPr>
      <t xml:space="preserve">c </t>
    </r>
    <r>
      <rPr>
        <b/>
        <sz val="10"/>
        <rFont val="Times New Roman"/>
        <family val="1"/>
      </rPr>
      <t>=</t>
    </r>
  </si>
  <si>
    <t>bề rộng cổ móng</t>
  </si>
  <si>
    <t>Vị trí</t>
  </si>
  <si>
    <t>Hình dạng và kích thước (mm)</t>
  </si>
  <si>
    <r>
      <t>f</t>
    </r>
    <r>
      <rPr>
        <sz val="10"/>
        <rFont val="Times New Roman"/>
        <family val="1"/>
      </rPr>
      <t xml:space="preserve"> 
(mm)</t>
    </r>
  </si>
  <si>
    <t>Chiều dài
(mm)</t>
  </si>
  <si>
    <t>Tổng c.dài 
(m)</t>
  </si>
  <si>
    <t>KL 
(kg)</t>
  </si>
  <si>
    <r>
      <t>h</t>
    </r>
    <r>
      <rPr>
        <b/>
        <vertAlign val="subscript"/>
        <sz val="10"/>
        <rFont val="Times New Roman"/>
        <family val="1"/>
      </rPr>
      <t>b</t>
    </r>
    <r>
      <rPr>
        <b/>
        <sz val="10"/>
        <rFont val="Times New Roman"/>
        <family val="1"/>
      </rPr>
      <t xml:space="preserve"> =</t>
    </r>
  </si>
  <si>
    <t>chiều cao đài móng</t>
  </si>
  <si>
    <t xml:space="preserve">    Thanh dọc trong đài (lớp dưới)</t>
  </si>
  <si>
    <t>1 chân móng</t>
  </si>
  <si>
    <r>
      <t>h</t>
    </r>
    <r>
      <rPr>
        <b/>
        <vertAlign val="subscript"/>
        <sz val="10"/>
        <rFont val="Times New Roman"/>
        <family val="1"/>
      </rPr>
      <t>v</t>
    </r>
    <r>
      <rPr>
        <b/>
        <sz val="10"/>
        <rFont val="Times New Roman"/>
        <family val="1"/>
      </rPr>
      <t xml:space="preserve"> =</t>
    </r>
  </si>
  <si>
    <t>chiều cao mép đài móng</t>
  </si>
  <si>
    <t>thép đài</t>
  </si>
  <si>
    <t>f</t>
  </si>
  <si>
    <t>@</t>
  </si>
  <si>
    <t xml:space="preserve">    Thanh dọc trong đài (lớp trên)</t>
  </si>
  <si>
    <t>Đục đá</t>
  </si>
  <si>
    <t>th.đài chống</t>
  </si>
  <si>
    <t>thép cột</t>
  </si>
  <si>
    <t>tính cho cả 4 cạnh</t>
  </si>
  <si>
    <t xml:space="preserve">    Thanh ngang trong đài (lớp dưới)</t>
  </si>
  <si>
    <t>đai cột</t>
  </si>
  <si>
    <t>chú ý cách bố trí bên dưới</t>
  </si>
  <si>
    <t xml:space="preserve">    Thanh ngang trong đài (lớp trên)</t>
  </si>
  <si>
    <t>Bê tông lót</t>
  </si>
  <si>
    <t>GHI CHÚ:</t>
  </si>
  <si>
    <t xml:space="preserve">    Thép chống</t>
  </si>
  <si>
    <t xml:space="preserve"> * Số bản móng trong 1 móng:</t>
  </si>
  <si>
    <t xml:space="preserve"> * Độ dốc mái đào hố móng:i=1:</t>
  </si>
  <si>
    <t xml:space="preserve">    Thép cột</t>
  </si>
  <si>
    <t xml:space="preserve"> * Lớp bê tông bảo vệ cốt thép:</t>
  </si>
  <si>
    <t xml:space="preserve">  - Đáy móng:</t>
  </si>
  <si>
    <t xml:space="preserve"> - VT khác:</t>
  </si>
  <si>
    <t xml:space="preserve">    Đai cột</t>
  </si>
  <si>
    <t xml:space="preserve"> * Bố trí đai dầm:</t>
  </si>
  <si>
    <t xml:space="preserve"> * Bố trí đai cột:</t>
  </si>
  <si>
    <t>f =</t>
  </si>
  <si>
    <t>Gia cường cổ móng 2 lớp d @100</t>
  </si>
  <si>
    <t>OUTPUT 3:</t>
  </si>
  <si>
    <t>BẢNG PHÂN LOẠI THÉP</t>
  </si>
  <si>
    <t>Dự phòng khối lượng thép:</t>
  </si>
  <si>
    <t>%</t>
  </si>
  <si>
    <t>KL COPHA:</t>
  </si>
  <si>
    <t>* Bản móng:</t>
  </si>
  <si>
    <r>
      <t>m</t>
    </r>
    <r>
      <rPr>
        <vertAlign val="superscript"/>
        <sz val="10"/>
        <rFont val="Times New Roman"/>
        <family val="1"/>
      </rPr>
      <t>2</t>
    </r>
  </si>
  <si>
    <t>Chiều dài (m)</t>
  </si>
  <si>
    <t>* Dầm móng:</t>
  </si>
  <si>
    <t>TL (kg)</t>
  </si>
  <si>
    <t>* Cổ móng:</t>
  </si>
  <si>
    <t>Thống kê thanh số 2 (cho 1 trụ móng)</t>
  </si>
  <si>
    <t>Thống kê thanh số 4 (cho 1 trụ móng)</t>
  </si>
  <si>
    <t>Thống kê thanh số 5 (cho 1 trụ móng)</t>
  </si>
  <si>
    <t>Thống kê thanh số 6 (cho 1 trụ móng)</t>
  </si>
  <si>
    <t>Bố trí thép :</t>
  </si>
  <si>
    <t>Trên đoạn X có :</t>
  </si>
  <si>
    <t>hàng</t>
  </si>
  <si>
    <t>Hàng:</t>
  </si>
  <si>
    <t>Số cây trong khoảng e:</t>
  </si>
  <si>
    <t>cây</t>
  </si>
  <si>
    <t>Khoảng thanh trên một mặt:</t>
  </si>
  <si>
    <t>khoảng</t>
  </si>
  <si>
    <t>L8</t>
  </si>
  <si>
    <t>Trên đoạn Y có :</t>
  </si>
  <si>
    <t>Khoảng cách giữa 2 thanh ở cổ cột:</t>
  </si>
  <si>
    <t>L7</t>
  </si>
  <si>
    <t>Khoảng cách giữa 2 thanh ở chân cột:</t>
  </si>
  <si>
    <t>L2</t>
  </si>
  <si>
    <t>Cổ cột:</t>
  </si>
  <si>
    <t>L3</t>
  </si>
  <si>
    <t>Chân cột:</t>
  </si>
  <si>
    <t>Chiều cao đài móng</t>
  </si>
  <si>
    <t>Chiều rộng móng:</t>
  </si>
  <si>
    <t>BT bảo vệ:</t>
  </si>
  <si>
    <t>Vát móng</t>
  </si>
  <si>
    <t>L4</t>
  </si>
  <si>
    <t>Chiều cao cột đặt thép đai</t>
  </si>
  <si>
    <r>
      <t>X</t>
    </r>
    <r>
      <rPr>
        <vertAlign val="subscript"/>
        <sz val="10"/>
        <rFont val="Times New Roman"/>
        <family val="1"/>
        <charset val="163"/>
      </rPr>
      <t>1</t>
    </r>
    <r>
      <rPr>
        <sz val="10"/>
        <rFont val="Times New Roman"/>
        <family val="1"/>
      </rPr>
      <t xml:space="preserve">   =</t>
    </r>
  </si>
  <si>
    <t>thanh</t>
  </si>
  <si>
    <r>
      <t>X</t>
    </r>
    <r>
      <rPr>
        <vertAlign val="subscript"/>
        <sz val="10"/>
        <rFont val="Times New Roman"/>
        <family val="1"/>
        <charset val="163"/>
      </rPr>
      <t>2</t>
    </r>
    <r>
      <rPr>
        <sz val="10"/>
        <rFont val="Times New Roman"/>
        <family val="1"/>
      </rPr>
      <t xml:space="preserve">   =</t>
    </r>
  </si>
  <si>
    <t>Chiều cao đặt thép đai @</t>
  </si>
  <si>
    <t>mm     =</t>
  </si>
  <si>
    <r>
      <t>Y</t>
    </r>
    <r>
      <rPr>
        <vertAlign val="subscript"/>
        <sz val="10"/>
        <rFont val="Times New Roman"/>
        <family val="1"/>
        <charset val="163"/>
      </rPr>
      <t>1</t>
    </r>
    <r>
      <rPr>
        <sz val="10"/>
        <rFont val="Times New Roman"/>
        <family val="1"/>
      </rPr>
      <t xml:space="preserve">   =</t>
    </r>
  </si>
  <si>
    <t>1 trụ   =</t>
  </si>
  <si>
    <r>
      <t>Y</t>
    </r>
    <r>
      <rPr>
        <vertAlign val="subscript"/>
        <sz val="10"/>
        <rFont val="Times New Roman"/>
        <family val="1"/>
        <charset val="163"/>
      </rPr>
      <t>2</t>
    </r>
    <r>
      <rPr>
        <sz val="10"/>
        <rFont val="Times New Roman"/>
        <family val="1"/>
      </rPr>
      <t xml:space="preserve">   =</t>
    </r>
  </si>
  <si>
    <t>Ký hiệu</t>
  </si>
  <si>
    <t>Ф</t>
  </si>
  <si>
    <t>Chiều dài</t>
  </si>
  <si>
    <t>Tổng c.dài</t>
  </si>
  <si>
    <t>Khối lượng</t>
  </si>
  <si>
    <t>X1</t>
  </si>
  <si>
    <t>X2</t>
  </si>
  <si>
    <t>X</t>
  </si>
  <si>
    <t>Y</t>
  </si>
  <si>
    <t>Tổng</t>
  </si>
  <si>
    <t>Trung bình</t>
  </si>
  <si>
    <t>Y1</t>
  </si>
  <si>
    <t>Y2</t>
  </si>
  <si>
    <t>ok</t>
  </si>
  <si>
    <t>Lưới đầu trụ</t>
  </si>
  <si>
    <t>02 lớp</t>
  </si>
  <si>
    <t>Chiều dày lớp bê tông bảo vệ</t>
  </si>
  <si>
    <t>Đáy móng</t>
  </si>
  <si>
    <t>Vị trí còn lại</t>
  </si>
  <si>
    <t>NÉO GÓC</t>
  </si>
  <si>
    <t>Mã bản vẽ Ghi chú chung:</t>
  </si>
  <si>
    <t>2511TNC2.F.NM.C.200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</si>
</sst>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#,##0.000"/>
    <numFmt numFmtId="168" formatCode="#,##0.0"/>
    <numFmt numFmtId="169" formatCode="#,##0.0000"/>
    <numFmt numFmtId="170" formatCode="#,##0.00000"/>
    <numFmt numFmtId="171" formatCode="0.0%"/>
    <numFmt numFmtId="172" formatCode="_(* #,##0.000_);_(* \(#,##0.000\);_(* &quot;-&quot;???_);_(@_)"/>
  </numFmts>
  <fonts count="118">
    <font>
      <sz val="10"/>
      <name val="VNI-Times"/>
    </font>
    <font>
      <sz val="10"/>
      <name val="VNI-Times"/>
    </font>
    <font>
      <sz val="8"/>
      <name val="VNI-Times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0"/>
      <name val="Times New Roman"/>
      <family val="1"/>
    </font>
    <font>
      <b/>
      <i/>
      <sz val="10"/>
      <name val="Times New Roman"/>
      <family val="1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i/>
      <u/>
      <sz val="10"/>
      <name val="Times New Roman"/>
      <family val="1"/>
    </font>
    <font>
      <b/>
      <sz val="10"/>
      <name val="VNI-Times"/>
    </font>
    <font>
      <b/>
      <sz val="12"/>
      <name val="VNI-Times"/>
    </font>
    <font>
      <b/>
      <sz val="10"/>
      <color indexed="10"/>
      <name val="VNI-Times"/>
    </font>
    <font>
      <sz val="10"/>
      <color indexed="10"/>
      <name val="VNI-Times"/>
    </font>
    <font>
      <b/>
      <i/>
      <sz val="10"/>
      <name val="VNI-Times"/>
    </font>
    <font>
      <b/>
      <sz val="12"/>
      <color indexed="10"/>
      <name val="VNI-Times"/>
    </font>
    <font>
      <sz val="9"/>
      <name val="VNI-Times"/>
    </font>
    <font>
      <b/>
      <sz val="9"/>
      <name val="VNI-Times"/>
    </font>
    <font>
      <sz val="9"/>
      <color indexed="10"/>
      <name val="VNI-Times"/>
    </font>
    <font>
      <b/>
      <sz val="9"/>
      <color indexed="10"/>
      <name val="VNI-Times"/>
    </font>
    <font>
      <sz val="12"/>
      <name val="VNI-Times"/>
    </font>
    <font>
      <vertAlign val="subscript"/>
      <sz val="10"/>
      <name val="VNI-Times"/>
    </font>
    <font>
      <sz val="11"/>
      <name val="VNI-Times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1"/>
      <name val="Times New Roman"/>
      <family val="1"/>
    </font>
    <font>
      <b/>
      <sz val="10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9"/>
      <name val="Times New Roman"/>
      <family val="1"/>
    </font>
    <font>
      <sz val="9"/>
      <color indexed="10"/>
      <name val="Times New Roman"/>
      <family val="1"/>
    </font>
    <font>
      <b/>
      <sz val="9"/>
      <color indexed="10"/>
      <name val="Times New Roman"/>
      <family val="1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sz val="10"/>
      <color rgb="FFFF0000"/>
      <name val="Times New Roman"/>
      <family val="1"/>
    </font>
    <font>
      <i/>
      <sz val="10"/>
      <color theme="3" tint="0.39997558519241921"/>
      <name val="Times New Roman"/>
      <family val="1"/>
    </font>
    <font>
      <i/>
      <sz val="10"/>
      <color rgb="FF0070C0"/>
      <name val="Times New Roman"/>
      <family val="1"/>
    </font>
    <font>
      <i/>
      <sz val="10"/>
      <color rgb="FF00B0F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FF00"/>
      <name val="Times New Roman"/>
      <family val="1"/>
    </font>
    <font>
      <sz val="10"/>
      <color rgb="FFFFFF00"/>
      <name val="VNI-Times"/>
    </font>
    <font>
      <sz val="10"/>
      <color rgb="FFFF0000"/>
      <name val="VNI-Times"/>
    </font>
    <font>
      <sz val="16"/>
      <name val="Times New Roman"/>
      <family val="1"/>
    </font>
    <font>
      <sz val="10"/>
      <color rgb="FF212529"/>
      <name val="Times New Roman"/>
      <family val="1"/>
    </font>
    <font>
      <vertAlign val="subscript"/>
      <sz val="10"/>
      <color rgb="FFFFFF00"/>
      <name val="Times New Roman"/>
      <family val="1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i/>
      <sz val="11"/>
      <color rgb="FF0070C0"/>
      <name val="Times New Roman"/>
      <family val="1"/>
    </font>
    <font>
      <b/>
      <i/>
      <sz val="12"/>
      <name val="Times New Roman"/>
      <family val="1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sz val="12"/>
      <color rgb="FF0070C0"/>
      <name val="Times New Roman"/>
      <family val="1"/>
    </font>
    <font>
      <i/>
      <u/>
      <sz val="12"/>
      <name val="Times New Roman"/>
      <family val="1"/>
    </font>
    <font>
      <i/>
      <sz val="12"/>
      <color rgb="FF00B0F0"/>
      <name val="Times New Roman"/>
      <family val="1"/>
    </font>
    <font>
      <i/>
      <sz val="12"/>
      <color indexed="30"/>
      <name val="Times New Roman"/>
      <family val="1"/>
    </font>
    <font>
      <b/>
      <i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  <font>
      <i/>
      <sz val="12"/>
      <color rgb="FF0070C0"/>
      <name val="Times New Roman"/>
      <family val="1"/>
    </font>
    <font>
      <b/>
      <sz val="12"/>
      <color rgb="FFFF0000"/>
      <name val="Times New Roman"/>
      <family val="1"/>
    </font>
    <font>
      <sz val="12"/>
      <name val="Arial"/>
      <family val="2"/>
    </font>
    <font>
      <sz val="12"/>
      <color theme="0"/>
      <name val="Times New Roman"/>
      <family val="1"/>
    </font>
    <font>
      <vertAlign val="subscript"/>
      <sz val="12"/>
      <color theme="1"/>
      <name val="Times New Roman"/>
      <family val="1"/>
    </font>
    <font>
      <sz val="12"/>
      <name val="Symbol"/>
      <family val="1"/>
      <charset val="2"/>
    </font>
    <font>
      <sz val="12"/>
      <name val="Times New Roman"/>
      <family val="1"/>
      <charset val="2"/>
    </font>
    <font>
      <vertAlign val="superscript"/>
      <sz val="12"/>
      <color theme="1"/>
      <name val="Times New Roman"/>
      <family val="1"/>
    </font>
    <font>
      <sz val="11.5"/>
      <name val="Times New Roman"/>
      <family val="1"/>
    </font>
    <font>
      <b/>
      <u/>
      <sz val="10"/>
      <color rgb="FFFFFF0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FFC000"/>
      <name val="Times New Roman"/>
      <family val="1"/>
    </font>
    <font>
      <b/>
      <u/>
      <sz val="10"/>
      <color theme="3"/>
      <name val="Times New Roman"/>
      <family val="1"/>
    </font>
    <font>
      <b/>
      <u/>
      <sz val="10"/>
      <color rgb="FF0070C0"/>
      <name val="Times New Roman"/>
      <family val="1"/>
    </font>
    <font>
      <sz val="10"/>
      <color rgb="FF0070C0"/>
      <name val="Times New Roman"/>
      <family val="1"/>
    </font>
    <font>
      <vertAlign val="subscript"/>
      <sz val="11.5"/>
      <name val="Times New Roman"/>
      <family val="1"/>
    </font>
    <font>
      <vertAlign val="superscript"/>
      <sz val="11.5"/>
      <name val="Times New Roman"/>
      <family val="1"/>
    </font>
    <font>
      <vertAlign val="subscript"/>
      <sz val="12"/>
      <name val="Times New Roman"/>
      <family val="1"/>
      <charset val="163"/>
    </font>
    <font>
      <b/>
      <sz val="12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0"/>
      <name val="Arial"/>
      <family val="2"/>
      <charset val="163"/>
    </font>
    <font>
      <sz val="10"/>
      <name val="Symbol"/>
      <family val="1"/>
      <charset val="2"/>
    </font>
    <font>
      <vertAlign val="superscript"/>
      <sz val="12"/>
      <name val="Times New Roman"/>
      <family val="1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0"/>
      <color rgb="FFFF0000"/>
      <name val="Times New Roman"/>
      <family val="1"/>
      <charset val="163"/>
    </font>
    <font>
      <b/>
      <sz val="10"/>
      <name val="VNI-Helve"/>
    </font>
    <font>
      <sz val="10"/>
      <name val="VNI-Helve"/>
    </font>
    <font>
      <b/>
      <sz val="10"/>
      <color indexed="10"/>
      <name val="VNI-Helve"/>
    </font>
    <font>
      <sz val="10"/>
      <color indexed="10"/>
      <name val="VNI-Helve"/>
    </font>
    <font>
      <sz val="10"/>
      <color indexed="9"/>
      <name val="Times New Roman"/>
      <family val="1"/>
    </font>
    <font>
      <b/>
      <vertAlign val="subscript"/>
      <sz val="10"/>
      <name val="Times New Roman"/>
      <family val="1"/>
    </font>
    <font>
      <sz val="8"/>
      <name val="Times New Roman"/>
      <family val="1"/>
    </font>
    <font>
      <sz val="8"/>
      <color indexed="10"/>
      <name val="Times New Roman"/>
      <family val="1"/>
    </font>
    <font>
      <sz val="12"/>
      <color rgb="FFFF0000"/>
      <name val="Times New Roman"/>
      <family val="1"/>
    </font>
    <font>
      <b/>
      <sz val="8"/>
      <color indexed="10"/>
      <name val="Times New Roman"/>
      <family val="1"/>
    </font>
    <font>
      <sz val="10"/>
      <color indexed="9"/>
      <name val="Symbol"/>
      <family val="1"/>
      <charset val="2"/>
    </font>
    <font>
      <b/>
      <sz val="14"/>
      <color indexed="10"/>
      <name val="Times New Roman"/>
      <family val="1"/>
    </font>
    <font>
      <sz val="14"/>
      <name val="Times New Roman"/>
      <family val="1"/>
    </font>
    <font>
      <vertAlign val="subscript"/>
      <sz val="10"/>
      <name val="Times New Roman"/>
      <family val="1"/>
      <charset val="163"/>
    </font>
    <font>
      <b/>
      <sz val="8"/>
      <color indexed="81"/>
      <name val="Tahoma"/>
      <family val="2"/>
      <charset val="163"/>
    </font>
    <font>
      <sz val="8"/>
      <color indexed="81"/>
      <name val="Tahoma"/>
      <family val="2"/>
      <charset val="163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5" fillId="0" borderId="0"/>
  </cellStyleXfs>
  <cellXfs count="1721"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1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2" borderId="0" xfId="0" applyFont="1" applyFill="1"/>
    <xf numFmtId="4" fontId="6" fillId="0" borderId="0" xfId="0" applyNumberFormat="1" applyFont="1" applyAlignment="1">
      <alignment horizontal="center"/>
    </xf>
    <xf numFmtId="167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/>
    <xf numFmtId="0" fontId="19" fillId="0" borderId="0" xfId="0" applyFont="1"/>
    <xf numFmtId="0" fontId="22" fillId="0" borderId="0" xfId="0" applyFont="1"/>
    <xf numFmtId="2" fontId="1" fillId="0" borderId="7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0" xfId="0" applyFont="1"/>
    <xf numFmtId="165" fontId="2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5" borderId="58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5" borderId="48" xfId="0" applyFont="1" applyFill="1" applyBorder="1" applyAlignment="1">
      <alignment horizontal="center"/>
    </xf>
    <xf numFmtId="167" fontId="1" fillId="7" borderId="52" xfId="0" applyNumberFormat="1" applyFont="1" applyFill="1" applyBorder="1" applyAlignment="1">
      <alignment horizontal="center"/>
    </xf>
    <xf numFmtId="167" fontId="1" fillId="7" borderId="71" xfId="0" applyNumberFormat="1" applyFont="1" applyFill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19" fillId="0" borderId="40" xfId="0" applyFont="1" applyBorder="1" applyAlignment="1">
      <alignment horizontal="left"/>
    </xf>
    <xf numFmtId="0" fontId="19" fillId="0" borderId="43" xfId="0" applyFont="1" applyBorder="1" applyAlignment="1">
      <alignment horizontal="left"/>
    </xf>
    <xf numFmtId="0" fontId="19" fillId="0" borderId="78" xfId="0" applyFont="1" applyBorder="1" applyAlignment="1">
      <alignment horizontal="left"/>
    </xf>
    <xf numFmtId="0" fontId="19" fillId="0" borderId="79" xfId="0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/>
    </xf>
    <xf numFmtId="0" fontId="25" fillId="0" borderId="17" xfId="0" applyFont="1" applyBorder="1" applyAlignment="1">
      <alignment horizontal="left"/>
    </xf>
    <xf numFmtId="0" fontId="25" fillId="0" borderId="80" xfId="0" applyFont="1" applyBorder="1" applyAlignment="1">
      <alignment horizontal="left"/>
    </xf>
    <xf numFmtId="0" fontId="25" fillId="0" borderId="26" xfId="0" applyFont="1" applyBorder="1" applyAlignment="1">
      <alignment horizontal="left"/>
    </xf>
    <xf numFmtId="0" fontId="25" fillId="0" borderId="64" xfId="0" applyFont="1" applyBorder="1" applyAlignment="1">
      <alignment horizontal="left"/>
    </xf>
    <xf numFmtId="0" fontId="28" fillId="10" borderId="22" xfId="0" applyFont="1" applyFill="1" applyBorder="1" applyAlignment="1">
      <alignment horizontal="left"/>
    </xf>
    <xf numFmtId="0" fontId="28" fillId="6" borderId="17" xfId="0" applyFont="1" applyFill="1" applyBorder="1" applyAlignment="1">
      <alignment horizontal="left"/>
    </xf>
    <xf numFmtId="0" fontId="25" fillId="8" borderId="81" xfId="0" applyFont="1" applyFill="1" applyBorder="1" applyAlignment="1">
      <alignment horizontal="left"/>
    </xf>
    <xf numFmtId="0" fontId="25" fillId="4" borderId="17" xfId="0" applyFont="1" applyFill="1" applyBorder="1" applyAlignment="1">
      <alignment horizontal="left"/>
    </xf>
    <xf numFmtId="0" fontId="25" fillId="4" borderId="79" xfId="0" applyFont="1" applyFill="1" applyBorder="1" applyAlignment="1">
      <alignment horizontal="left"/>
    </xf>
    <xf numFmtId="0" fontId="1" fillId="0" borderId="58" xfId="0" applyFont="1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4" xfId="0" applyFont="1" applyBorder="1" applyAlignment="1">
      <alignment horizontal="left"/>
    </xf>
    <xf numFmtId="0" fontId="6" fillId="0" borderId="7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9" fillId="0" borderId="38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5" fillId="4" borderId="18" xfId="0" applyFont="1" applyFill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84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1" fillId="0" borderId="62" xfId="0" applyFont="1" applyBorder="1" applyAlignment="1">
      <alignment horizontal="left"/>
    </xf>
    <xf numFmtId="0" fontId="29" fillId="0" borderId="18" xfId="0" applyFont="1" applyBorder="1" applyAlignment="1">
      <alignment horizontal="left"/>
    </xf>
    <xf numFmtId="0" fontId="0" fillId="0" borderId="43" xfId="0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76" xfId="0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86" xfId="0" applyFont="1" applyBorder="1" applyAlignment="1">
      <alignment horizontal="center"/>
    </xf>
    <xf numFmtId="0" fontId="6" fillId="4" borderId="4" xfId="0" applyFont="1" applyFill="1" applyBorder="1"/>
    <xf numFmtId="0" fontId="6" fillId="2" borderId="4" xfId="0" applyFont="1" applyFill="1" applyBorder="1"/>
    <xf numFmtId="0" fontId="6" fillId="6" borderId="4" xfId="0" applyFont="1" applyFill="1" applyBorder="1"/>
    <xf numFmtId="0" fontId="6" fillId="0" borderId="4" xfId="0" applyFont="1" applyBorder="1"/>
    <xf numFmtId="167" fontId="6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/>
    </xf>
    <xf numFmtId="167" fontId="6" fillId="11" borderId="0" xfId="0" quotePrefix="1" applyNumberFormat="1" applyFont="1" applyFill="1" applyAlignment="1">
      <alignment horizontal="center"/>
    </xf>
    <xf numFmtId="0" fontId="6" fillId="11" borderId="0" xfId="0" quotePrefix="1" applyFont="1" applyFill="1" applyAlignment="1">
      <alignment horizontal="center"/>
    </xf>
    <xf numFmtId="167" fontId="6" fillId="2" borderId="59" xfId="0" applyNumberFormat="1" applyFont="1" applyFill="1" applyBorder="1"/>
    <xf numFmtId="4" fontId="6" fillId="2" borderId="59" xfId="0" applyNumberFormat="1" applyFont="1" applyFill="1" applyBorder="1"/>
    <xf numFmtId="4" fontId="6" fillId="2" borderId="60" xfId="0" applyNumberFormat="1" applyFont="1" applyFill="1" applyBorder="1"/>
    <xf numFmtId="167" fontId="6" fillId="0" borderId="27" xfId="0" applyNumberFormat="1" applyFont="1" applyBorder="1"/>
    <xf numFmtId="169" fontId="6" fillId="0" borderId="27" xfId="0" applyNumberFormat="1" applyFont="1" applyBorder="1"/>
    <xf numFmtId="169" fontId="6" fillId="0" borderId="87" xfId="0" applyNumberFormat="1" applyFont="1" applyBorder="1"/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2" fillId="0" borderId="0" xfId="0" applyFont="1" applyAlignment="1">
      <alignment horizontal="justify" vertical="top" wrapText="1"/>
    </xf>
    <xf numFmtId="167" fontId="32" fillId="0" borderId="0" xfId="0" applyNumberFormat="1" applyFont="1" applyAlignment="1">
      <alignment horizontal="justify" vertical="top" wrapText="1"/>
    </xf>
    <xf numFmtId="2" fontId="6" fillId="0" borderId="0" xfId="0" applyNumberFormat="1" applyFont="1"/>
    <xf numFmtId="167" fontId="6" fillId="0" borderId="61" xfId="0" applyNumberFormat="1" applyFont="1" applyBorder="1"/>
    <xf numFmtId="169" fontId="6" fillId="0" borderId="61" xfId="0" applyNumberFormat="1" applyFont="1" applyBorder="1"/>
    <xf numFmtId="167" fontId="6" fillId="0" borderId="3" xfId="0" applyNumberFormat="1" applyFont="1" applyBorder="1"/>
    <xf numFmtId="0" fontId="6" fillId="0" borderId="3" xfId="0" applyFont="1" applyBorder="1"/>
    <xf numFmtId="0" fontId="6" fillId="0" borderId="24" xfId="0" applyFont="1" applyBorder="1" applyAlignment="1">
      <alignment horizontal="left"/>
    </xf>
    <xf numFmtId="0" fontId="9" fillId="0" borderId="72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8" borderId="24" xfId="0" applyFont="1" applyFill="1" applyBorder="1" applyAlignment="1">
      <alignment horizontal="left"/>
    </xf>
    <xf numFmtId="0" fontId="6" fillId="8" borderId="23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6" fillId="8" borderId="53" xfId="0" applyFont="1" applyFill="1" applyBorder="1" applyAlignment="1">
      <alignment horizontal="center"/>
    </xf>
    <xf numFmtId="3" fontId="6" fillId="8" borderId="85" xfId="0" applyNumberFormat="1" applyFont="1" applyFill="1" applyBorder="1" applyAlignment="1">
      <alignment horizontal="center"/>
    </xf>
    <xf numFmtId="0" fontId="8" fillId="0" borderId="88" xfId="0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6" fillId="0" borderId="88" xfId="0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0" fontId="8" fillId="0" borderId="39" xfId="0" applyFont="1" applyBorder="1" applyAlignment="1">
      <alignment horizontal="center" vertical="center"/>
    </xf>
    <xf numFmtId="4" fontId="8" fillId="0" borderId="21" xfId="0" applyNumberFormat="1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77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7" fillId="0" borderId="38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4" fontId="6" fillId="0" borderId="89" xfId="0" applyNumberFormat="1" applyFont="1" applyBorder="1" applyAlignment="1">
      <alignment horizontal="center"/>
    </xf>
    <xf numFmtId="2" fontId="6" fillId="0" borderId="89" xfId="0" applyNumberFormat="1" applyFont="1" applyBorder="1" applyAlignment="1">
      <alignment horizontal="center"/>
    </xf>
    <xf numFmtId="2" fontId="6" fillId="0" borderId="36" xfId="0" applyNumberFormat="1" applyFont="1" applyBorder="1" applyAlignment="1">
      <alignment horizontal="center"/>
    </xf>
    <xf numFmtId="0" fontId="6" fillId="8" borderId="40" xfId="0" applyFont="1" applyFill="1" applyBorder="1" applyAlignment="1">
      <alignment horizontal="center"/>
    </xf>
    <xf numFmtId="0" fontId="6" fillId="8" borderId="41" xfId="0" applyFont="1" applyFill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4" fontId="6" fillId="0" borderId="4" xfId="0" applyNumberFormat="1" applyFont="1" applyBorder="1" applyAlignment="1">
      <alignment horizontal="center"/>
    </xf>
    <xf numFmtId="2" fontId="6" fillId="0" borderId="4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7" borderId="43" xfId="0" applyFont="1" applyFill="1" applyBorder="1" applyAlignment="1">
      <alignment horizontal="center"/>
    </xf>
    <xf numFmtId="0" fontId="6" fillId="7" borderId="44" xfId="0" applyFont="1" applyFill="1" applyBorder="1" applyAlignment="1">
      <alignment horizontal="center"/>
    </xf>
    <xf numFmtId="0" fontId="6" fillId="7" borderId="50" xfId="0" applyFont="1" applyFill="1" applyBorder="1" applyAlignment="1">
      <alignment horizontal="center"/>
    </xf>
    <xf numFmtId="0" fontId="6" fillId="7" borderId="52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7" borderId="51" xfId="0" applyFont="1" applyFill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7" fillId="2" borderId="49" xfId="0" applyFont="1" applyFill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6" fillId="0" borderId="21" xfId="0" applyFont="1" applyBorder="1"/>
    <xf numFmtId="0" fontId="8" fillId="0" borderId="40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43" xfId="0" applyFont="1" applyBorder="1" applyAlignment="1">
      <alignment horizontal="left"/>
    </xf>
    <xf numFmtId="0" fontId="6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8" fillId="0" borderId="78" xfId="0" applyFont="1" applyBorder="1" applyAlignment="1">
      <alignment horizontal="left"/>
    </xf>
    <xf numFmtId="0" fontId="6" fillId="0" borderId="55" xfId="0" applyFont="1" applyBorder="1" applyAlignment="1">
      <alignment horizontal="center"/>
    </xf>
    <xf numFmtId="0" fontId="6" fillId="7" borderId="55" xfId="0" applyFont="1" applyFill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5" borderId="56" xfId="0" applyFont="1" applyFill="1" applyBorder="1" applyAlignment="1">
      <alignment horizontal="center"/>
    </xf>
    <xf numFmtId="0" fontId="6" fillId="5" borderId="58" xfId="0" applyFont="1" applyFill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167" fontId="6" fillId="7" borderId="61" xfId="0" applyNumberFormat="1" applyFont="1" applyFill="1" applyBorder="1" applyAlignment="1">
      <alignment horizontal="center"/>
    </xf>
    <xf numFmtId="167" fontId="6" fillId="0" borderId="61" xfId="0" applyNumberFormat="1" applyFont="1" applyBorder="1" applyAlignment="1">
      <alignment horizontal="center"/>
    </xf>
    <xf numFmtId="167" fontId="6" fillId="0" borderId="82" xfId="0" applyNumberFormat="1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6" fillId="5" borderId="64" xfId="0" applyFont="1" applyFill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5" borderId="65" xfId="0" applyFont="1" applyFill="1" applyBorder="1" applyAlignment="1">
      <alignment horizontal="center"/>
    </xf>
    <xf numFmtId="0" fontId="6" fillId="0" borderId="66" xfId="0" applyFont="1" applyBorder="1" applyAlignment="1">
      <alignment horizontal="center"/>
    </xf>
    <xf numFmtId="0" fontId="6" fillId="5" borderId="48" xfId="0" applyFont="1" applyFill="1" applyBorder="1" applyAlignment="1">
      <alignment horizontal="center"/>
    </xf>
    <xf numFmtId="0" fontId="8" fillId="0" borderId="79" xfId="0" applyFont="1" applyBorder="1" applyAlignment="1">
      <alignment horizontal="left" vertical="center"/>
    </xf>
    <xf numFmtId="167" fontId="6" fillId="0" borderId="67" xfId="0" applyNumberFormat="1" applyFont="1" applyBorder="1" applyAlignment="1">
      <alignment horizontal="center"/>
    </xf>
    <xf numFmtId="167" fontId="6" fillId="0" borderId="68" xfId="0" applyNumberFormat="1" applyFont="1" applyBorder="1" applyAlignment="1">
      <alignment horizontal="center"/>
    </xf>
    <xf numFmtId="167" fontId="6" fillId="0" borderId="50" xfId="0" applyNumberFormat="1" applyFont="1" applyBorder="1" applyAlignment="1">
      <alignment horizontal="center"/>
    </xf>
    <xf numFmtId="167" fontId="6" fillId="0" borderId="51" xfId="0" applyNumberFormat="1" applyFont="1" applyBorder="1" applyAlignment="1">
      <alignment horizontal="center"/>
    </xf>
    <xf numFmtId="167" fontId="6" fillId="0" borderId="52" xfId="0" applyNumberFormat="1" applyFont="1" applyBorder="1" applyAlignment="1">
      <alignment horizontal="center"/>
    </xf>
    <xf numFmtId="167" fontId="6" fillId="7" borderId="50" xfId="0" applyNumberFormat="1" applyFont="1" applyFill="1" applyBorder="1" applyAlignment="1">
      <alignment horizontal="center"/>
    </xf>
    <xf numFmtId="167" fontId="6" fillId="7" borderId="52" xfId="0" applyNumberFormat="1" applyFont="1" applyFill="1" applyBorder="1" applyAlignment="1">
      <alignment horizontal="center"/>
    </xf>
    <xf numFmtId="167" fontId="6" fillId="7" borderId="69" xfId="0" applyNumberFormat="1" applyFont="1" applyFill="1" applyBorder="1" applyAlignment="1">
      <alignment horizontal="center"/>
    </xf>
    <xf numFmtId="167" fontId="6" fillId="7" borderId="70" xfId="0" applyNumberFormat="1" applyFont="1" applyFill="1" applyBorder="1" applyAlignment="1">
      <alignment horizontal="center"/>
    </xf>
    <xf numFmtId="167" fontId="6" fillId="7" borderId="71" xfId="0" applyNumberFormat="1" applyFont="1" applyFill="1" applyBorder="1" applyAlignment="1">
      <alignment horizontal="center"/>
    </xf>
    <xf numFmtId="2" fontId="9" fillId="4" borderId="0" xfId="0" applyNumberFormat="1" applyFont="1" applyFill="1" applyAlignment="1">
      <alignment horizontal="center"/>
    </xf>
    <xf numFmtId="2" fontId="9" fillId="0" borderId="0" xfId="0" applyNumberFormat="1" applyFont="1" applyAlignment="1">
      <alignment horizontal="center"/>
    </xf>
    <xf numFmtId="0" fontId="9" fillId="0" borderId="22" xfId="0" applyFont="1" applyBorder="1" applyAlignment="1">
      <alignment horizontal="left" vertical="center"/>
    </xf>
    <xf numFmtId="0" fontId="9" fillId="0" borderId="14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5" fontId="36" fillId="4" borderId="14" xfId="0" applyNumberFormat="1" applyFont="1" applyFill="1" applyBorder="1" applyAlignment="1">
      <alignment horizontal="center"/>
    </xf>
    <xf numFmtId="2" fontId="36" fillId="4" borderId="14" xfId="0" applyNumberFormat="1" applyFont="1" applyFill="1" applyBorder="1" applyAlignment="1">
      <alignment horizontal="center"/>
    </xf>
    <xf numFmtId="2" fontId="36" fillId="4" borderId="21" xfId="0" applyNumberFormat="1" applyFont="1" applyFill="1" applyBorder="1" applyAlignment="1">
      <alignment horizontal="center"/>
    </xf>
    <xf numFmtId="2" fontId="36" fillId="4" borderId="0" xfId="0" applyNumberFormat="1" applyFont="1" applyFill="1" applyAlignment="1">
      <alignment horizontal="center"/>
    </xf>
    <xf numFmtId="0" fontId="15" fillId="0" borderId="17" xfId="0" applyFont="1" applyBorder="1" applyAlignment="1">
      <alignment horizontal="left"/>
    </xf>
    <xf numFmtId="0" fontId="15" fillId="0" borderId="15" xfId="0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80" xfId="0" applyFont="1" applyBorder="1" applyAlignment="1">
      <alignment horizontal="left"/>
    </xf>
    <xf numFmtId="2" fontId="15" fillId="0" borderId="73" xfId="0" applyNumberFormat="1" applyFont="1" applyBorder="1" applyAlignment="1">
      <alignment horizontal="center"/>
    </xf>
    <xf numFmtId="4" fontId="38" fillId="0" borderId="6" xfId="0" applyNumberFormat="1" applyFont="1" applyBorder="1" applyAlignment="1">
      <alignment horizontal="right"/>
    </xf>
    <xf numFmtId="0" fontId="15" fillId="0" borderId="10" xfId="0" applyFont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172" fontId="15" fillId="0" borderId="5" xfId="0" applyNumberFormat="1" applyFont="1" applyBorder="1" applyAlignment="1">
      <alignment horizontal="right"/>
    </xf>
    <xf numFmtId="41" fontId="15" fillId="0" borderId="5" xfId="0" applyNumberFormat="1" applyFont="1" applyBorder="1" applyAlignment="1">
      <alignment horizontal="right"/>
    </xf>
    <xf numFmtId="43" fontId="15" fillId="0" borderId="6" xfId="0" applyNumberFormat="1" applyFont="1" applyBorder="1" applyAlignment="1">
      <alignment horizontal="right"/>
    </xf>
    <xf numFmtId="2" fontId="15" fillId="0" borderId="0" xfId="0" applyNumberFormat="1" applyFont="1" applyAlignment="1">
      <alignment horizontal="center"/>
    </xf>
    <xf numFmtId="0" fontId="15" fillId="0" borderId="26" xfId="0" applyFont="1" applyBorder="1" applyAlignment="1">
      <alignment horizontal="left"/>
    </xf>
    <xf numFmtId="0" fontId="15" fillId="0" borderId="27" xfId="0" applyFont="1" applyBorder="1" applyAlignment="1">
      <alignment horizontal="center"/>
    </xf>
    <xf numFmtId="2" fontId="15" fillId="0" borderId="27" xfId="0" applyNumberFormat="1" applyFont="1" applyBorder="1" applyAlignment="1">
      <alignment horizontal="center"/>
    </xf>
    <xf numFmtId="4" fontId="38" fillId="0" borderId="28" xfId="0" applyNumberFormat="1" applyFont="1" applyBorder="1" applyAlignment="1">
      <alignment horizontal="right"/>
    </xf>
    <xf numFmtId="0" fontId="15" fillId="0" borderId="26" xfId="0" applyFont="1" applyBorder="1" applyAlignment="1">
      <alignment horizontal="center"/>
    </xf>
    <xf numFmtId="0" fontId="6" fillId="9" borderId="27" xfId="0" applyFont="1" applyFill="1" applyBorder="1" applyAlignment="1">
      <alignment horizontal="center"/>
    </xf>
    <xf numFmtId="172" fontId="15" fillId="0" borderId="27" xfId="0" applyNumberFormat="1" applyFont="1" applyBorder="1" applyAlignment="1">
      <alignment horizontal="right"/>
    </xf>
    <xf numFmtId="41" fontId="15" fillId="0" borderId="27" xfId="0" applyNumberFormat="1" applyFont="1" applyBorder="1" applyAlignment="1">
      <alignment horizontal="right"/>
    </xf>
    <xf numFmtId="43" fontId="15" fillId="0" borderId="28" xfId="0" applyNumberFormat="1" applyFont="1" applyBorder="1" applyAlignment="1">
      <alignment horizontal="right"/>
    </xf>
    <xf numFmtId="0" fontId="6" fillId="2" borderId="46" xfId="0" applyFont="1" applyFill="1" applyBorder="1" applyAlignment="1">
      <alignment horizontal="center"/>
    </xf>
    <xf numFmtId="172" fontId="15" fillId="2" borderId="46" xfId="0" applyNumberFormat="1" applyFont="1" applyFill="1" applyBorder="1" applyAlignment="1">
      <alignment horizontal="right"/>
    </xf>
    <xf numFmtId="41" fontId="15" fillId="2" borderId="46" xfId="0" applyNumberFormat="1" applyFont="1" applyFill="1" applyBorder="1" applyAlignment="1">
      <alignment horizontal="right"/>
    </xf>
    <xf numFmtId="43" fontId="15" fillId="2" borderId="49" xfId="0" applyNumberFormat="1" applyFont="1" applyFill="1" applyBorder="1" applyAlignment="1">
      <alignment horizontal="right"/>
    </xf>
    <xf numFmtId="2" fontId="6" fillId="0" borderId="86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64" xfId="0" applyFont="1" applyBorder="1" applyAlignment="1">
      <alignment horizontal="left"/>
    </xf>
    <xf numFmtId="0" fontId="15" fillId="0" borderId="46" xfId="0" applyFont="1" applyBorder="1" applyAlignment="1">
      <alignment horizontal="center"/>
    </xf>
    <xf numFmtId="2" fontId="15" fillId="0" borderId="46" xfId="0" applyNumberFormat="1" applyFont="1" applyBorder="1" applyAlignment="1">
      <alignment horizontal="center"/>
    </xf>
    <xf numFmtId="4" fontId="38" fillId="0" borderId="49" xfId="0" applyNumberFormat="1" applyFont="1" applyBorder="1" applyAlignment="1">
      <alignment horizontal="right"/>
    </xf>
    <xf numFmtId="0" fontId="39" fillId="10" borderId="22" xfId="0" applyFont="1" applyFill="1" applyBorder="1" applyAlignment="1">
      <alignment horizontal="left"/>
    </xf>
    <xf numFmtId="0" fontId="39" fillId="10" borderId="14" xfId="0" applyFont="1" applyFill="1" applyBorder="1" applyAlignment="1">
      <alignment horizontal="center"/>
    </xf>
    <xf numFmtId="4" fontId="39" fillId="10" borderId="25" xfId="0" applyNumberFormat="1" applyFont="1" applyFill="1" applyBorder="1" applyAlignment="1">
      <alignment horizontal="right"/>
    </xf>
    <xf numFmtId="0" fontId="6" fillId="2" borderId="73" xfId="0" applyFont="1" applyFill="1" applyBorder="1" applyAlignment="1">
      <alignment horizontal="center"/>
    </xf>
    <xf numFmtId="172" fontId="15" fillId="2" borderId="73" xfId="0" applyNumberFormat="1" applyFont="1" applyFill="1" applyBorder="1" applyAlignment="1">
      <alignment horizontal="right"/>
    </xf>
    <xf numFmtId="41" fontId="15" fillId="2" borderId="73" xfId="0" applyNumberFormat="1" applyFont="1" applyFill="1" applyBorder="1" applyAlignment="1">
      <alignment horizontal="right"/>
    </xf>
    <xf numFmtId="43" fontId="15" fillId="2" borderId="74" xfId="0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9" fillId="6" borderId="17" xfId="0" applyFont="1" applyFill="1" applyBorder="1" applyAlignment="1">
      <alignment horizontal="left"/>
    </xf>
    <xf numFmtId="2" fontId="15" fillId="0" borderId="15" xfId="0" applyNumberFormat="1" applyFont="1" applyBorder="1" applyAlignment="1">
      <alignment horizontal="center"/>
    </xf>
    <xf numFmtId="4" fontId="39" fillId="6" borderId="25" xfId="0" applyNumberFormat="1" applyFont="1" applyFill="1" applyBorder="1" applyAlignment="1">
      <alignment horizontal="right"/>
    </xf>
    <xf numFmtId="0" fontId="6" fillId="11" borderId="46" xfId="0" applyFont="1" applyFill="1" applyBorder="1" applyAlignment="1">
      <alignment horizontal="center"/>
    </xf>
    <xf numFmtId="172" fontId="15" fillId="11" borderId="46" xfId="0" applyNumberFormat="1" applyFont="1" applyFill="1" applyBorder="1" applyAlignment="1">
      <alignment horizontal="right"/>
    </xf>
    <xf numFmtId="41" fontId="15" fillId="11" borderId="46" xfId="0" applyNumberFormat="1" applyFont="1" applyFill="1" applyBorder="1" applyAlignment="1">
      <alignment horizontal="right"/>
    </xf>
    <xf numFmtId="43" fontId="15" fillId="11" borderId="49" xfId="0" applyNumberFormat="1" applyFont="1" applyFill="1" applyBorder="1" applyAlignment="1">
      <alignment horizontal="right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15" fillId="8" borderId="81" xfId="0" applyFont="1" applyFill="1" applyBorder="1" applyAlignment="1">
      <alignment horizontal="left"/>
    </xf>
    <xf numFmtId="0" fontId="15" fillId="0" borderId="67" xfId="0" applyFont="1" applyBorder="1" applyAlignment="1">
      <alignment horizontal="center"/>
    </xf>
    <xf numFmtId="0" fontId="15" fillId="7" borderId="75" xfId="0" applyFont="1" applyFill="1" applyBorder="1" applyAlignment="1">
      <alignment horizontal="center"/>
    </xf>
    <xf numFmtId="4" fontId="39" fillId="8" borderId="25" xfId="0" applyNumberFormat="1" applyFont="1" applyFill="1" applyBorder="1" applyAlignment="1">
      <alignment horizontal="right"/>
    </xf>
    <xf numFmtId="0" fontId="15" fillId="11" borderId="73" xfId="0" applyFont="1" applyFill="1" applyBorder="1" applyAlignment="1">
      <alignment horizontal="center"/>
    </xf>
    <xf numFmtId="172" fontId="15" fillId="11" borderId="73" xfId="0" applyNumberFormat="1" applyFont="1" applyFill="1" applyBorder="1" applyAlignment="1">
      <alignment horizontal="right"/>
    </xf>
    <xf numFmtId="41" fontId="15" fillId="11" borderId="73" xfId="0" applyNumberFormat="1" applyFont="1" applyFill="1" applyBorder="1" applyAlignment="1">
      <alignment horizontal="right"/>
    </xf>
    <xf numFmtId="43" fontId="15" fillId="11" borderId="74" xfId="0" applyNumberFormat="1" applyFont="1" applyFill="1" applyBorder="1" applyAlignment="1">
      <alignment horizontal="right"/>
    </xf>
    <xf numFmtId="0" fontId="15" fillId="4" borderId="17" xfId="0" applyFont="1" applyFill="1" applyBorder="1" applyAlignment="1">
      <alignment horizontal="left"/>
    </xf>
    <xf numFmtId="4" fontId="39" fillId="4" borderId="25" xfId="0" applyNumberFormat="1" applyFont="1" applyFill="1" applyBorder="1" applyAlignment="1">
      <alignment horizontal="right"/>
    </xf>
    <xf numFmtId="41" fontId="6" fillId="0" borderId="0" xfId="0" applyNumberFormat="1" applyFont="1" applyAlignment="1">
      <alignment horizontal="right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15" fillId="4" borderId="79" xfId="0" applyFont="1" applyFill="1" applyBorder="1" applyAlignment="1">
      <alignment horizontal="left"/>
    </xf>
    <xf numFmtId="2" fontId="15" fillId="0" borderId="76" xfId="0" applyNumberFormat="1" applyFont="1" applyBorder="1" applyAlignment="1">
      <alignment horizontal="center"/>
    </xf>
    <xf numFmtId="0" fontId="15" fillId="0" borderId="76" xfId="0" applyFont="1" applyBorder="1" applyAlignment="1">
      <alignment horizontal="center"/>
    </xf>
    <xf numFmtId="4" fontId="39" fillId="4" borderId="77" xfId="0" applyNumberFormat="1" applyFont="1" applyFill="1" applyBorder="1" applyAlignment="1">
      <alignment horizontal="right"/>
    </xf>
    <xf numFmtId="172" fontId="6" fillId="0" borderId="27" xfId="0" applyNumberFormat="1" applyFont="1" applyBorder="1" applyAlignment="1">
      <alignment horizontal="right"/>
    </xf>
    <xf numFmtId="165" fontId="35" fillId="0" borderId="0" xfId="0" applyNumberFormat="1" applyFont="1" applyAlignment="1">
      <alignment horizontal="center"/>
    </xf>
    <xf numFmtId="0" fontId="15" fillId="4" borderId="18" xfId="0" applyFont="1" applyFill="1" applyBorder="1" applyAlignment="1">
      <alignment horizontal="left"/>
    </xf>
    <xf numFmtId="165" fontId="39" fillId="4" borderId="0" xfId="0" applyNumberFormat="1" applyFont="1" applyFill="1" applyAlignment="1">
      <alignment horizontal="center"/>
    </xf>
    <xf numFmtId="0" fontId="8" fillId="0" borderId="18" xfId="0" applyFont="1" applyBorder="1" applyAlignment="1">
      <alignment horizontal="left"/>
    </xf>
    <xf numFmtId="0" fontId="6" fillId="0" borderId="83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4" fontId="15" fillId="0" borderId="5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4" fontId="8" fillId="0" borderId="6" xfId="0" applyNumberFormat="1" applyFont="1" applyBorder="1" applyAlignment="1">
      <alignment horizontal="center"/>
    </xf>
    <xf numFmtId="41" fontId="6" fillId="0" borderId="27" xfId="0" applyNumberFormat="1" applyFont="1" applyBorder="1" applyAlignment="1">
      <alignment horizontal="right"/>
    </xf>
    <xf numFmtId="4" fontId="15" fillId="0" borderId="27" xfId="0" applyNumberFormat="1" applyFont="1" applyBorder="1" applyAlignment="1">
      <alignment horizontal="right"/>
    </xf>
    <xf numFmtId="167" fontId="15" fillId="0" borderId="27" xfId="0" applyNumberFormat="1" applyFont="1" applyBorder="1" applyAlignment="1">
      <alignment horizontal="right"/>
    </xf>
    <xf numFmtId="4" fontId="8" fillId="0" borderId="27" xfId="0" applyNumberFormat="1" applyFont="1" applyBorder="1" applyAlignment="1">
      <alignment horizontal="right"/>
    </xf>
    <xf numFmtId="0" fontId="6" fillId="7" borderId="27" xfId="0" applyFont="1" applyFill="1" applyBorder="1" applyAlignment="1">
      <alignment horizontal="center"/>
    </xf>
    <xf numFmtId="41" fontId="6" fillId="7" borderId="27" xfId="0" applyNumberFormat="1" applyFont="1" applyFill="1" applyBorder="1" applyAlignment="1">
      <alignment horizontal="right"/>
    </xf>
    <xf numFmtId="0" fontId="6" fillId="0" borderId="29" xfId="0" applyFont="1" applyBorder="1" applyAlignment="1">
      <alignment horizontal="center"/>
    </xf>
    <xf numFmtId="4" fontId="15" fillId="0" borderId="30" xfId="0" applyNumberFormat="1" applyFont="1" applyBorder="1" applyAlignment="1">
      <alignment horizontal="right"/>
    </xf>
    <xf numFmtId="167" fontId="15" fillId="0" borderId="30" xfId="0" applyNumberFormat="1" applyFont="1" applyBorder="1" applyAlignment="1">
      <alignment horizontal="right"/>
    </xf>
    <xf numFmtId="4" fontId="8" fillId="0" borderId="30" xfId="0" applyNumberFormat="1" applyFont="1" applyBorder="1" applyAlignment="1">
      <alignment horizontal="right"/>
    </xf>
    <xf numFmtId="0" fontId="6" fillId="0" borderId="31" xfId="0" applyFont="1" applyBorder="1" applyAlignment="1">
      <alignment horizontal="center"/>
    </xf>
    <xf numFmtId="167" fontId="15" fillId="0" borderId="0" xfId="0" applyNumberFormat="1" applyFont="1" applyAlignment="1">
      <alignment horizontal="center"/>
    </xf>
    <xf numFmtId="4" fontId="8" fillId="0" borderId="72" xfId="0" applyNumberFormat="1" applyFont="1" applyBorder="1" applyAlignment="1">
      <alignment horizontal="center"/>
    </xf>
    <xf numFmtId="41" fontId="15" fillId="7" borderId="27" xfId="0" applyNumberFormat="1" applyFont="1" applyFill="1" applyBorder="1" applyAlignment="1">
      <alignment horizontal="right"/>
    </xf>
    <xf numFmtId="0" fontId="6" fillId="7" borderId="86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6" fillId="9" borderId="30" xfId="0" applyFont="1" applyFill="1" applyBorder="1" applyAlignment="1">
      <alignment horizontal="center"/>
    </xf>
    <xf numFmtId="172" fontId="15" fillId="0" borderId="30" xfId="0" applyNumberFormat="1" applyFont="1" applyBorder="1" applyAlignment="1">
      <alignment horizontal="right"/>
    </xf>
    <xf numFmtId="41" fontId="15" fillId="0" borderId="30" xfId="0" applyNumberFormat="1" applyFont="1" applyBorder="1" applyAlignment="1">
      <alignment horizontal="right"/>
    </xf>
    <xf numFmtId="43" fontId="15" fillId="0" borderId="90" xfId="0" applyNumberFormat="1" applyFont="1" applyBorder="1" applyAlignment="1">
      <alignment horizontal="right"/>
    </xf>
    <xf numFmtId="2" fontId="15" fillId="0" borderId="43" xfId="0" applyNumberFormat="1" applyFont="1" applyBorder="1" applyAlignment="1">
      <alignment horizontal="center"/>
    </xf>
    <xf numFmtId="2" fontId="15" fillId="0" borderId="4" xfId="0" applyNumberFormat="1" applyFont="1" applyBorder="1" applyAlignment="1">
      <alignment horizontal="center"/>
    </xf>
    <xf numFmtId="0" fontId="6" fillId="0" borderId="84" xfId="0" applyFont="1" applyBorder="1" applyAlignment="1">
      <alignment horizontal="left"/>
    </xf>
    <xf numFmtId="4" fontId="8" fillId="0" borderId="59" xfId="0" applyNumberFormat="1" applyFont="1" applyBorder="1" applyAlignment="1">
      <alignment horizontal="center"/>
    </xf>
    <xf numFmtId="0" fontId="6" fillId="0" borderId="26" xfId="0" applyFont="1" applyBorder="1" applyAlignment="1">
      <alignment horizontal="left"/>
    </xf>
    <xf numFmtId="2" fontId="6" fillId="0" borderId="27" xfId="0" applyNumberFormat="1" applyFont="1" applyBorder="1" applyAlignment="1">
      <alignment horizontal="center"/>
    </xf>
    <xf numFmtId="0" fontId="6" fillId="0" borderId="62" xfId="0" applyFont="1" applyBorder="1" applyAlignment="1">
      <alignment horizontal="left"/>
    </xf>
    <xf numFmtId="0" fontId="40" fillId="0" borderId="0" xfId="0" applyFont="1" applyAlignment="1">
      <alignment horizontal="center"/>
    </xf>
    <xf numFmtId="4" fontId="40" fillId="0" borderId="0" xfId="0" applyNumberFormat="1" applyFont="1" applyAlignment="1">
      <alignment horizontal="center"/>
    </xf>
    <xf numFmtId="2" fontId="40" fillId="0" borderId="0" xfId="0" applyNumberFormat="1" applyFont="1" applyAlignment="1">
      <alignment horizontal="center"/>
    </xf>
    <xf numFmtId="0" fontId="34" fillId="0" borderId="0" xfId="0" applyFont="1" applyAlignment="1">
      <alignment vertical="center"/>
    </xf>
    <xf numFmtId="0" fontId="6" fillId="12" borderId="32" xfId="0" applyFont="1" applyFill="1" applyBorder="1"/>
    <xf numFmtId="0" fontId="6" fillId="12" borderId="3" xfId="0" applyFont="1" applyFill="1" applyBorder="1"/>
    <xf numFmtId="167" fontId="6" fillId="12" borderId="3" xfId="0" applyNumberFormat="1" applyFont="1" applyFill="1" applyBorder="1"/>
    <xf numFmtId="0" fontId="6" fillId="12" borderId="33" xfId="0" applyFont="1" applyFill="1" applyBorder="1"/>
    <xf numFmtId="0" fontId="6" fillId="12" borderId="34" xfId="0" applyFont="1" applyFill="1" applyBorder="1" applyAlignment="1">
      <alignment horizontal="right" vertical="center" textRotation="90"/>
    </xf>
    <xf numFmtId="0" fontId="6" fillId="12" borderId="36" xfId="0" applyFont="1" applyFill="1" applyBorder="1"/>
    <xf numFmtId="0" fontId="6" fillId="12" borderId="1" xfId="0" applyFont="1" applyFill="1" applyBorder="1"/>
    <xf numFmtId="167" fontId="6" fillId="12" borderId="1" xfId="0" applyNumberFormat="1" applyFont="1" applyFill="1" applyBorder="1"/>
    <xf numFmtId="0" fontId="6" fillId="12" borderId="37" xfId="0" applyFont="1" applyFill="1" applyBorder="1"/>
    <xf numFmtId="0" fontId="6" fillId="12" borderId="35" xfId="0" applyFont="1" applyFill="1" applyBorder="1"/>
    <xf numFmtId="0" fontId="6" fillId="12" borderId="34" xfId="0" applyFont="1" applyFill="1" applyBorder="1"/>
    <xf numFmtId="0" fontId="6" fillId="12" borderId="0" xfId="0" applyFont="1" applyFill="1"/>
    <xf numFmtId="167" fontId="6" fillId="12" borderId="0" xfId="0" applyNumberFormat="1" applyFont="1" applyFill="1"/>
    <xf numFmtId="167" fontId="6" fillId="12" borderId="34" xfId="0" applyNumberFormat="1" applyFont="1" applyFill="1" applyBorder="1" applyAlignment="1">
      <alignment horizontal="right" vertical="center"/>
    </xf>
    <xf numFmtId="0" fontId="6" fillId="12" borderId="0" xfId="0" applyFont="1" applyFill="1" applyAlignment="1">
      <alignment horizontal="right" vertical="center" textRotation="90"/>
    </xf>
    <xf numFmtId="0" fontId="6" fillId="12" borderId="32" xfId="0" applyFont="1" applyFill="1" applyBorder="1" applyAlignment="1">
      <alignment horizontal="right"/>
    </xf>
    <xf numFmtId="0" fontId="6" fillId="12" borderId="33" xfId="0" applyFont="1" applyFill="1" applyBorder="1" applyAlignment="1">
      <alignment horizontal="left"/>
    </xf>
    <xf numFmtId="3" fontId="6" fillId="12" borderId="36" xfId="0" applyNumberFormat="1" applyFont="1" applyFill="1" applyBorder="1"/>
    <xf numFmtId="3" fontId="6" fillId="12" borderId="0" xfId="0" applyNumberFormat="1" applyFont="1" applyFill="1" applyAlignment="1">
      <alignment vertical="center" textRotation="90"/>
    </xf>
    <xf numFmtId="3" fontId="6" fillId="12" borderId="4" xfId="0" applyNumberFormat="1" applyFont="1" applyFill="1" applyBorder="1" applyAlignment="1">
      <alignment horizontal="center"/>
    </xf>
    <xf numFmtId="43" fontId="40" fillId="0" borderId="4" xfId="0" applyNumberFormat="1" applyFont="1" applyBorder="1" applyAlignment="1">
      <alignment horizontal="center" wrapText="1"/>
    </xf>
    <xf numFmtId="0" fontId="40" fillId="12" borderId="35" xfId="0" applyFont="1" applyFill="1" applyBorder="1"/>
    <xf numFmtId="0" fontId="40" fillId="12" borderId="34" xfId="0" applyFont="1" applyFill="1" applyBorder="1"/>
    <xf numFmtId="0" fontId="40" fillId="12" borderId="0" xfId="0" applyFont="1" applyFill="1"/>
    <xf numFmtId="0" fontId="40" fillId="12" borderId="36" xfId="0" applyFont="1" applyFill="1" applyBorder="1"/>
    <xf numFmtId="0" fontId="40" fillId="12" borderId="1" xfId="0" applyFont="1" applyFill="1" applyBorder="1"/>
    <xf numFmtId="0" fontId="40" fillId="12" borderId="37" xfId="0" applyFont="1" applyFill="1" applyBorder="1"/>
    <xf numFmtId="0" fontId="40" fillId="0" borderId="4" xfId="0" applyFont="1" applyBorder="1" applyAlignment="1">
      <alignment horizontal="center" vertical="center" wrapText="1"/>
    </xf>
    <xf numFmtId="0" fontId="6" fillId="0" borderId="72" xfId="0" applyFont="1" applyBorder="1"/>
    <xf numFmtId="4" fontId="6" fillId="7" borderId="59" xfId="0" applyNumberFormat="1" applyFont="1" applyFill="1" applyBorder="1" applyAlignment="1">
      <alignment horizontal="center"/>
    </xf>
    <xf numFmtId="4" fontId="6" fillId="0" borderId="59" xfId="0" applyNumberFormat="1" applyFont="1" applyBorder="1" applyAlignment="1">
      <alignment horizontal="center"/>
    </xf>
    <xf numFmtId="4" fontId="38" fillId="0" borderId="27" xfId="0" applyNumberFormat="1" applyFont="1" applyBorder="1" applyAlignment="1">
      <alignment horizontal="center"/>
    </xf>
    <xf numFmtId="4" fontId="6" fillId="0" borderId="27" xfId="0" applyNumberFormat="1" applyFont="1" applyBorder="1" applyAlignment="1">
      <alignment horizontal="center"/>
    </xf>
    <xf numFmtId="4" fontId="6" fillId="0" borderId="61" xfId="0" applyNumberFormat="1" applyFont="1" applyBorder="1" applyAlignment="1">
      <alignment horizontal="center"/>
    </xf>
    <xf numFmtId="4" fontId="6" fillId="8" borderId="4" xfId="0" applyNumberFormat="1" applyFont="1" applyFill="1" applyBorder="1" applyAlignment="1">
      <alignment horizontal="center"/>
    </xf>
    <xf numFmtId="4" fontId="8" fillId="8" borderId="27" xfId="0" applyNumberFormat="1" applyFont="1" applyFill="1" applyBorder="1" applyAlignment="1">
      <alignment horizontal="right"/>
    </xf>
    <xf numFmtId="43" fontId="6" fillId="5" borderId="32" xfId="0" applyNumberFormat="1" applyFont="1" applyFill="1" applyBorder="1"/>
    <xf numFmtId="43" fontId="6" fillId="0" borderId="3" xfId="0" applyNumberFormat="1" applyFont="1" applyBorder="1"/>
    <xf numFmtId="43" fontId="6" fillId="5" borderId="3" xfId="0" applyNumberFormat="1" applyFont="1" applyFill="1" applyBorder="1"/>
    <xf numFmtId="43" fontId="6" fillId="0" borderId="33" xfId="0" applyNumberFormat="1" applyFont="1" applyBorder="1"/>
    <xf numFmtId="4" fontId="6" fillId="0" borderId="0" xfId="0" applyNumberFormat="1" applyFont="1" applyAlignment="1">
      <alignment horizontal="center" vertical="center"/>
    </xf>
    <xf numFmtId="4" fontId="40" fillId="0" borderId="4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0" fontId="11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9" fillId="0" borderId="0" xfId="0" applyFont="1"/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8" fontId="6" fillId="0" borderId="0" xfId="0" applyNumberFormat="1" applyFont="1" applyAlignment="1" applyProtection="1">
      <alignment horizontal="right" vertical="center"/>
      <protection locked="0"/>
    </xf>
    <xf numFmtId="0" fontId="8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/>
    </xf>
    <xf numFmtId="49" fontId="6" fillId="0" borderId="0" xfId="0" applyNumberFormat="1" applyFont="1" applyAlignment="1" applyProtection="1">
      <alignment horizontal="left" vertical="center"/>
      <protection locked="0"/>
    </xf>
    <xf numFmtId="164" fontId="8" fillId="0" borderId="0" xfId="0" applyNumberFormat="1" applyFont="1" applyAlignment="1" applyProtection="1">
      <alignment horizontal="left" vertical="center"/>
      <protection locked="0"/>
    </xf>
    <xf numFmtId="2" fontId="6" fillId="0" borderId="0" xfId="0" applyNumberFormat="1" applyFont="1" applyAlignment="1">
      <alignment vertical="center" textRotation="90"/>
    </xf>
    <xf numFmtId="164" fontId="6" fillId="0" borderId="0" xfId="0" applyNumberFormat="1" applyFont="1" applyAlignment="1">
      <alignment vertical="center" textRotation="90"/>
    </xf>
    <xf numFmtId="164" fontId="6" fillId="0" borderId="0" xfId="0" applyNumberFormat="1" applyFont="1"/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textRotation="90"/>
    </xf>
    <xf numFmtId="0" fontId="6" fillId="0" borderId="0" xfId="0" applyFont="1" applyAlignment="1">
      <alignment textRotation="90"/>
    </xf>
    <xf numFmtId="2" fontId="6" fillId="0" borderId="0" xfId="0" applyNumberFormat="1" applyFont="1" applyAlignment="1">
      <alignment textRotation="90"/>
    </xf>
    <xf numFmtId="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14" fontId="8" fillId="0" borderId="0" xfId="0" applyNumberFormat="1" applyFont="1" applyAlignment="1" applyProtection="1">
      <alignment horizontal="left" vertical="center"/>
      <protection locked="0"/>
    </xf>
    <xf numFmtId="164" fontId="40" fillId="0" borderId="0" xfId="0" applyNumberFormat="1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164" fontId="8" fillId="0" borderId="1" xfId="0" applyNumberFormat="1" applyFont="1" applyBorder="1" applyAlignment="1" applyProtection="1">
      <alignment horizontal="center" vertical="center"/>
      <protection locked="0"/>
    </xf>
    <xf numFmtId="0" fontId="19" fillId="0" borderId="79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7" fontId="8" fillId="8" borderId="5" xfId="0" applyNumberFormat="1" applyFont="1" applyFill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2" fontId="6" fillId="0" borderId="2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7" fontId="8" fillId="8" borderId="27" xfId="0" applyNumberFormat="1" applyFont="1" applyFill="1" applyBorder="1" applyAlignment="1">
      <alignment horizontal="center" vertical="center"/>
    </xf>
    <xf numFmtId="167" fontId="8" fillId="0" borderId="28" xfId="0" applyNumberFormat="1" applyFont="1" applyBorder="1" applyAlignment="1">
      <alignment horizontal="center" vertical="center"/>
    </xf>
    <xf numFmtId="2" fontId="6" fillId="0" borderId="2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7" fontId="8" fillId="8" borderId="30" xfId="0" applyNumberFormat="1" applyFont="1" applyFill="1" applyBorder="1" applyAlignment="1">
      <alignment horizontal="center" vertical="center"/>
    </xf>
    <xf numFmtId="167" fontId="8" fillId="0" borderId="31" xfId="0" applyNumberFormat="1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6" fillId="8" borderId="0" xfId="0" applyNumberFormat="1" applyFont="1" applyFill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/>
    </xf>
    <xf numFmtId="4" fontId="6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" fillId="8" borderId="53" xfId="0" applyFont="1" applyFill="1" applyBorder="1" applyAlignment="1">
      <alignment horizontal="center" vertical="center"/>
    </xf>
    <xf numFmtId="3" fontId="1" fillId="8" borderId="85" xfId="0" applyNumberFormat="1" applyFont="1" applyFill="1" applyBorder="1" applyAlignment="1">
      <alignment horizontal="center" vertical="center"/>
    </xf>
    <xf numFmtId="0" fontId="31" fillId="2" borderId="27" xfId="0" applyFont="1" applyFill="1" applyBorder="1" applyAlignment="1">
      <alignment horizontal="center" vertical="center"/>
    </xf>
    <xf numFmtId="2" fontId="31" fillId="0" borderId="27" xfId="0" applyNumberFormat="1" applyFont="1" applyBorder="1" applyAlignment="1">
      <alignment horizontal="center" vertical="center"/>
    </xf>
    <xf numFmtId="4" fontId="19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4" fontId="19" fillId="0" borderId="21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165" fontId="21" fillId="0" borderId="0" xfId="0" applyNumberFormat="1" applyFont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22" fillId="2" borderId="49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1" fillId="2" borderId="61" xfId="0" applyFont="1" applyFill="1" applyBorder="1" applyAlignment="1">
      <alignment horizontal="center" vertical="center"/>
    </xf>
    <xf numFmtId="2" fontId="31" fillId="0" borderId="6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7" borderId="55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0" fontId="1" fillId="5" borderId="58" xfId="0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7" fontId="1" fillId="7" borderId="61" xfId="0" applyNumberFormat="1" applyFont="1" applyFill="1" applyBorder="1" applyAlignment="1">
      <alignment horizontal="center" vertical="center"/>
    </xf>
    <xf numFmtId="167" fontId="1" fillId="0" borderId="61" xfId="0" applyNumberFormat="1" applyFont="1" applyBorder="1" applyAlignment="1">
      <alignment horizontal="center" vertical="center"/>
    </xf>
    <xf numFmtId="167" fontId="1" fillId="0" borderId="8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5" borderId="64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5" borderId="65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167" fontId="1" fillId="0" borderId="67" xfId="0" applyNumberFormat="1" applyFont="1" applyBorder="1" applyAlignment="1">
      <alignment horizontal="center" vertical="center"/>
    </xf>
    <xf numFmtId="167" fontId="1" fillId="0" borderId="68" xfId="0" applyNumberFormat="1" applyFont="1" applyBorder="1" applyAlignment="1">
      <alignment horizontal="center" vertical="center"/>
    </xf>
    <xf numFmtId="167" fontId="1" fillId="0" borderId="50" xfId="0" applyNumberFormat="1" applyFont="1" applyBorder="1" applyAlignment="1">
      <alignment horizontal="center" vertical="center"/>
    </xf>
    <xf numFmtId="167" fontId="1" fillId="0" borderId="51" xfId="0" applyNumberFormat="1" applyFont="1" applyBorder="1" applyAlignment="1">
      <alignment horizontal="center" vertical="center"/>
    </xf>
    <xf numFmtId="167" fontId="1" fillId="0" borderId="52" xfId="0" applyNumberFormat="1" applyFont="1" applyBorder="1" applyAlignment="1">
      <alignment horizontal="center" vertical="center"/>
    </xf>
    <xf numFmtId="167" fontId="1" fillId="7" borderId="50" xfId="0" applyNumberFormat="1" applyFont="1" applyFill="1" applyBorder="1" applyAlignment="1">
      <alignment horizontal="center" vertical="center"/>
    </xf>
    <xf numFmtId="167" fontId="1" fillId="7" borderId="52" xfId="0" applyNumberFormat="1" applyFont="1" applyFill="1" applyBorder="1" applyAlignment="1">
      <alignment horizontal="center" vertical="center"/>
    </xf>
    <xf numFmtId="167" fontId="1" fillId="7" borderId="69" xfId="0" applyNumberFormat="1" applyFont="1" applyFill="1" applyBorder="1" applyAlignment="1">
      <alignment horizontal="center" vertical="center"/>
    </xf>
    <xf numFmtId="167" fontId="1" fillId="7" borderId="70" xfId="0" applyNumberFormat="1" applyFont="1" applyFill="1" applyBorder="1" applyAlignment="1">
      <alignment horizontal="center" vertical="center"/>
    </xf>
    <xf numFmtId="167" fontId="1" fillId="7" borderId="71" xfId="0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65" fontId="24" fillId="4" borderId="14" xfId="0" applyNumberFormat="1" applyFont="1" applyFill="1" applyBorder="1" applyAlignment="1">
      <alignment horizontal="center" vertical="center"/>
    </xf>
    <xf numFmtId="2" fontId="24" fillId="4" borderId="14" xfId="0" applyNumberFormat="1" applyFont="1" applyFill="1" applyBorder="1" applyAlignment="1">
      <alignment horizontal="center" vertical="center"/>
    </xf>
    <xf numFmtId="2" fontId="24" fillId="4" borderId="21" xfId="0" applyNumberFormat="1" applyFont="1" applyFill="1" applyBorder="1" applyAlignment="1">
      <alignment horizontal="center" vertical="center"/>
    </xf>
    <xf numFmtId="2" fontId="24" fillId="4" borderId="0" xfId="0" applyNumberFormat="1" applyFont="1" applyFill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80" xfId="0" applyFont="1" applyBorder="1" applyAlignment="1">
      <alignment horizontal="center" vertical="center"/>
    </xf>
    <xf numFmtId="2" fontId="25" fillId="0" borderId="73" xfId="0" applyNumberFormat="1" applyFont="1" applyBorder="1" applyAlignment="1">
      <alignment horizontal="center" vertical="center"/>
    </xf>
    <xf numFmtId="165" fontId="27" fillId="0" borderId="6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65" fontId="25" fillId="0" borderId="5" xfId="0" applyNumberFormat="1" applyFont="1" applyBorder="1" applyAlignment="1">
      <alignment horizontal="center" vertical="center"/>
    </xf>
    <xf numFmtId="2" fontId="25" fillId="0" borderId="6" xfId="0" applyNumberFormat="1" applyFont="1" applyBorder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2" fontId="25" fillId="0" borderId="27" xfId="0" applyNumberFormat="1" applyFont="1" applyBorder="1" applyAlignment="1">
      <alignment horizontal="center" vertical="center"/>
    </xf>
    <xf numFmtId="165" fontId="27" fillId="0" borderId="28" xfId="0" applyNumberFormat="1" applyFont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165" fontId="25" fillId="0" borderId="27" xfId="0" applyNumberFormat="1" applyFont="1" applyBorder="1" applyAlignment="1">
      <alignment horizontal="center" vertical="center"/>
    </xf>
    <xf numFmtId="2" fontId="25" fillId="0" borderId="28" xfId="0" applyNumberFormat="1" applyFont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165" fontId="25" fillId="2" borderId="46" xfId="0" applyNumberFormat="1" applyFont="1" applyFill="1" applyBorder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2" fontId="25" fillId="2" borderId="49" xfId="0" applyNumberFormat="1" applyFont="1" applyFill="1" applyBorder="1" applyAlignment="1">
      <alignment horizontal="center" vertical="center"/>
    </xf>
    <xf numFmtId="0" fontId="25" fillId="0" borderId="64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2" fontId="25" fillId="0" borderId="46" xfId="0" applyNumberFormat="1" applyFont="1" applyBorder="1" applyAlignment="1">
      <alignment horizontal="center" vertical="center"/>
    </xf>
    <xf numFmtId="165" fontId="27" fillId="0" borderId="49" xfId="0" applyNumberFormat="1" applyFont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65" fontId="25" fillId="2" borderId="73" xfId="0" applyNumberFormat="1" applyFont="1" applyFill="1" applyBorder="1" applyAlignment="1">
      <alignment horizontal="center" vertical="center"/>
    </xf>
    <xf numFmtId="0" fontId="25" fillId="2" borderId="73" xfId="0" applyFont="1" applyFill="1" applyBorder="1" applyAlignment="1">
      <alignment horizontal="center" vertical="center"/>
    </xf>
    <xf numFmtId="2" fontId="25" fillId="2" borderId="74" xfId="0" applyNumberFormat="1" applyFont="1" applyFill="1" applyBorder="1" applyAlignment="1">
      <alignment horizontal="center" vertical="center"/>
    </xf>
    <xf numFmtId="0" fontId="28" fillId="10" borderId="22" xfId="0" applyFont="1" applyFill="1" applyBorder="1" applyAlignment="1">
      <alignment horizontal="center" vertical="center"/>
    </xf>
    <xf numFmtId="0" fontId="28" fillId="10" borderId="14" xfId="0" applyFont="1" applyFill="1" applyBorder="1" applyAlignment="1">
      <alignment horizontal="center" vertical="center"/>
    </xf>
    <xf numFmtId="4" fontId="28" fillId="10" borderId="25" xfId="0" applyNumberFormat="1" applyFont="1" applyFill="1" applyBorder="1" applyAlignment="1">
      <alignment horizontal="center" vertical="center"/>
    </xf>
    <xf numFmtId="0" fontId="28" fillId="6" borderId="17" xfId="0" applyFont="1" applyFill="1" applyBorder="1" applyAlignment="1">
      <alignment horizontal="center" vertical="center"/>
    </xf>
    <xf numFmtId="2" fontId="25" fillId="0" borderId="15" xfId="0" applyNumberFormat="1" applyFont="1" applyBorder="1" applyAlignment="1">
      <alignment horizontal="center" vertical="center"/>
    </xf>
    <xf numFmtId="4" fontId="28" fillId="6" borderId="25" xfId="0" applyNumberFormat="1" applyFont="1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165" fontId="25" fillId="11" borderId="46" xfId="0" applyNumberFormat="1" applyFont="1" applyFill="1" applyBorder="1" applyAlignment="1">
      <alignment horizontal="center" vertical="center"/>
    </xf>
    <xf numFmtId="0" fontId="25" fillId="11" borderId="46" xfId="0" applyFont="1" applyFill="1" applyBorder="1" applyAlignment="1">
      <alignment horizontal="center" vertical="center"/>
    </xf>
    <xf numFmtId="2" fontId="25" fillId="11" borderId="49" xfId="0" applyNumberFormat="1" applyFont="1" applyFill="1" applyBorder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25" fillId="8" borderId="81" xfId="0" applyFont="1" applyFill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5" fillId="7" borderId="75" xfId="0" applyFont="1" applyFill="1" applyBorder="1" applyAlignment="1">
      <alignment horizontal="center" vertical="center"/>
    </xf>
    <xf numFmtId="4" fontId="28" fillId="8" borderId="25" xfId="0" applyNumberFormat="1" applyFont="1" applyFill="1" applyBorder="1" applyAlignment="1">
      <alignment horizontal="center" vertical="center"/>
    </xf>
    <xf numFmtId="0" fontId="25" fillId="11" borderId="73" xfId="0" applyFont="1" applyFill="1" applyBorder="1" applyAlignment="1">
      <alignment horizontal="center" vertical="center"/>
    </xf>
    <xf numFmtId="165" fontId="25" fillId="11" borderId="73" xfId="0" applyNumberFormat="1" applyFont="1" applyFill="1" applyBorder="1" applyAlignment="1">
      <alignment horizontal="center" vertical="center"/>
    </xf>
    <xf numFmtId="2" fontId="25" fillId="11" borderId="74" xfId="0" applyNumberFormat="1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165" fontId="28" fillId="4" borderId="25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4" borderId="79" xfId="0" applyFont="1" applyFill="1" applyBorder="1" applyAlignment="1">
      <alignment horizontal="center" vertical="center"/>
    </xf>
    <xf numFmtId="2" fontId="25" fillId="0" borderId="76" xfId="0" applyNumberFormat="1" applyFont="1" applyBorder="1" applyAlignment="1">
      <alignment horizontal="center" vertical="center"/>
    </xf>
    <xf numFmtId="0" fontId="25" fillId="0" borderId="76" xfId="0" applyFont="1" applyBorder="1" applyAlignment="1">
      <alignment horizontal="center" vertical="center"/>
    </xf>
    <xf numFmtId="165" fontId="28" fillId="4" borderId="77" xfId="0" applyNumberFormat="1" applyFont="1" applyFill="1" applyBorder="1" applyAlignment="1">
      <alignment horizontal="center" vertical="center"/>
    </xf>
    <xf numFmtId="167" fontId="1" fillId="0" borderId="27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4" borderId="18" xfId="0" applyFont="1" applyFill="1" applyBorder="1" applyAlignment="1">
      <alignment horizontal="center" vertical="center"/>
    </xf>
    <xf numFmtId="165" fontId="28" fillId="4" borderId="0" xfId="0" applyNumberFormat="1" applyFont="1" applyFill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" fontId="25" fillId="0" borderId="5" xfId="0" applyNumberFormat="1" applyFont="1" applyBorder="1" applyAlignment="1">
      <alignment horizontal="center" vertical="center"/>
    </xf>
    <xf numFmtId="167" fontId="25" fillId="0" borderId="5" xfId="0" applyNumberFormat="1" applyFont="1" applyBorder="1" applyAlignment="1">
      <alignment horizontal="center" vertical="center"/>
    </xf>
    <xf numFmtId="4" fontId="19" fillId="0" borderId="5" xfId="0" applyNumberFormat="1" applyFont="1" applyBorder="1" applyAlignment="1">
      <alignment horizontal="center" vertical="center"/>
    </xf>
    <xf numFmtId="4" fontId="19" fillId="0" borderId="6" xfId="0" applyNumberFormat="1" applyFont="1" applyBorder="1" applyAlignment="1">
      <alignment horizontal="center" vertical="center"/>
    </xf>
    <xf numFmtId="4" fontId="25" fillId="0" borderId="27" xfId="0" applyNumberFormat="1" applyFont="1" applyBorder="1" applyAlignment="1">
      <alignment horizontal="center" vertical="center"/>
    </xf>
    <xf numFmtId="167" fontId="25" fillId="0" borderId="27" xfId="0" applyNumberFormat="1" applyFont="1" applyBorder="1" applyAlignment="1">
      <alignment horizontal="center" vertical="center"/>
    </xf>
    <xf numFmtId="4" fontId="19" fillId="0" borderId="27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8" borderId="27" xfId="0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" fontId="25" fillId="0" borderId="30" xfId="0" applyNumberFormat="1" applyFont="1" applyBorder="1" applyAlignment="1">
      <alignment horizontal="center" vertical="center"/>
    </xf>
    <xf numFmtId="167" fontId="25" fillId="0" borderId="30" xfId="0" applyNumberFormat="1" applyFont="1" applyBorder="1" applyAlignment="1">
      <alignment horizontal="center" vertical="center"/>
    </xf>
    <xf numFmtId="4" fontId="19" fillId="0" borderId="30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67" fontId="25" fillId="0" borderId="0" xfId="0" applyNumberFormat="1" applyFont="1" applyAlignment="1">
      <alignment horizontal="center" vertical="center"/>
    </xf>
    <xf numFmtId="4" fontId="19" fillId="2" borderId="67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25" fillId="7" borderId="2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25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2" fontId="25" fillId="0" borderId="31" xfId="0" applyNumberFormat="1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4" fontId="19" fillId="0" borderId="59" xfId="0" applyNumberFormat="1" applyFont="1" applyBorder="1" applyAlignment="1">
      <alignment horizontal="center" vertical="center"/>
    </xf>
    <xf numFmtId="165" fontId="27" fillId="0" borderId="27" xfId="0" applyNumberFormat="1" applyFon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2" borderId="4" xfId="0" applyNumberFormat="1" applyFill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19" fillId="4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3" fillId="8" borderId="0" xfId="0" applyFont="1" applyFill="1" applyAlignment="1">
      <alignment horizontal="center" vertical="center"/>
    </xf>
    <xf numFmtId="0" fontId="54" fillId="0" borderId="0" xfId="0" applyFont="1"/>
    <xf numFmtId="0" fontId="0" fillId="0" borderId="0" xfId="0" quotePrefix="1"/>
    <xf numFmtId="0" fontId="0" fillId="0" borderId="55" xfId="0" applyBorder="1" applyAlignment="1">
      <alignment horizontal="center" vertical="center"/>
    </xf>
    <xf numFmtId="0" fontId="55" fillId="15" borderId="0" xfId="0" applyFont="1" applyFill="1"/>
    <xf numFmtId="0" fontId="8" fillId="0" borderId="4" xfId="0" applyFont="1" applyBorder="1" applyAlignment="1">
      <alignment horizontal="center" vertical="center"/>
    </xf>
    <xf numFmtId="0" fontId="57" fillId="17" borderId="4" xfId="0" applyFont="1" applyFill="1" applyBorder="1" applyAlignment="1">
      <alignment horizontal="center" vertical="center" wrapText="1"/>
    </xf>
    <xf numFmtId="0" fontId="6" fillId="15" borderId="0" xfId="0" applyFont="1" applyFill="1"/>
    <xf numFmtId="0" fontId="52" fillId="15" borderId="34" xfId="0" applyFont="1" applyFill="1" applyBorder="1" applyAlignment="1">
      <alignment horizontal="center" vertical="center"/>
    </xf>
    <xf numFmtId="0" fontId="53" fillId="15" borderId="0" xfId="0" applyFont="1" applyFill="1" applyAlignment="1">
      <alignment horizontal="center" vertical="center"/>
    </xf>
    <xf numFmtId="0" fontId="53" fillId="15" borderId="4" xfId="0" applyFont="1" applyFill="1" applyBorder="1" applyAlignment="1">
      <alignment horizontal="center" vertical="center"/>
    </xf>
    <xf numFmtId="0" fontId="53" fillId="15" borderId="0" xfId="0" applyFont="1" applyFill="1" applyAlignment="1">
      <alignment vertical="center"/>
    </xf>
    <xf numFmtId="0" fontId="54" fillId="15" borderId="0" xfId="0" applyFont="1" applyFill="1"/>
    <xf numFmtId="0" fontId="54" fillId="15" borderId="0" xfId="0" applyFont="1" applyFill="1" applyAlignment="1">
      <alignment horizontal="right"/>
    </xf>
    <xf numFmtId="2" fontId="53" fillId="15" borderId="0" xfId="0" applyNumberFormat="1" applyFont="1" applyFill="1" applyAlignment="1">
      <alignment horizontal="center" vertical="center"/>
    </xf>
    <xf numFmtId="4" fontId="53" fillId="15" borderId="0" xfId="0" applyNumberFormat="1" applyFont="1" applyFill="1" applyAlignment="1">
      <alignment horizontal="center" vertical="center"/>
    </xf>
    <xf numFmtId="4" fontId="53" fillId="15" borderId="0" xfId="0" applyNumberFormat="1" applyFont="1" applyFill="1" applyAlignment="1">
      <alignment horizontal="left" vertical="center"/>
    </xf>
    <xf numFmtId="4" fontId="53" fillId="15" borderId="0" xfId="0" quotePrefix="1" applyNumberFormat="1" applyFont="1" applyFill="1" applyAlignment="1">
      <alignment horizontal="left" vertical="center"/>
    </xf>
    <xf numFmtId="3" fontId="53" fillId="15" borderId="0" xfId="0" applyNumberFormat="1" applyFont="1" applyFill="1" applyAlignment="1">
      <alignment horizontal="center" vertical="center"/>
    </xf>
    <xf numFmtId="168" fontId="53" fillId="15" borderId="0" xfId="0" applyNumberFormat="1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" fontId="48" fillId="16" borderId="0" xfId="0" applyNumberFormat="1" applyFont="1" applyFill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0" fontId="34" fillId="0" borderId="0" xfId="0" quotePrefix="1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4" fontId="40" fillId="16" borderId="4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4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right" vertical="center"/>
    </xf>
    <xf numFmtId="2" fontId="40" fillId="0" borderId="0" xfId="0" applyNumberFormat="1" applyFont="1" applyAlignment="1">
      <alignment horizontal="center" vertical="center"/>
    </xf>
    <xf numFmtId="0" fontId="62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4" fontId="40" fillId="14" borderId="0" xfId="0" applyNumberFormat="1" applyFont="1" applyFill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2" fontId="40" fillId="0" borderId="0" xfId="0" applyNumberFormat="1" applyFont="1" applyAlignment="1">
      <alignment horizontal="right" vertical="center"/>
    </xf>
    <xf numFmtId="1" fontId="40" fillId="0" borderId="0" xfId="0" applyNumberFormat="1" applyFont="1" applyAlignment="1">
      <alignment horizontal="right" vertical="center"/>
    </xf>
    <xf numFmtId="2" fontId="40" fillId="0" borderId="0" xfId="0" applyNumberFormat="1" applyFont="1" applyAlignment="1">
      <alignment horizontal="left" vertical="center"/>
    </xf>
    <xf numFmtId="0" fontId="40" fillId="14" borderId="0" xfId="0" applyFont="1" applyFill="1" applyAlignment="1">
      <alignment horizontal="center" vertical="center"/>
    </xf>
    <xf numFmtId="0" fontId="40" fillId="0" borderId="0" xfId="0" applyFont="1" applyAlignment="1">
      <alignment horizontal="right" vertical="center" wrapText="1"/>
    </xf>
    <xf numFmtId="0" fontId="65" fillId="0" borderId="0" xfId="0" applyFont="1" applyAlignment="1">
      <alignment horizontal="left" vertical="center"/>
    </xf>
    <xf numFmtId="0" fontId="66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40" fillId="0" borderId="0" xfId="0" quotePrefix="1" applyFont="1" applyAlignment="1">
      <alignment horizontal="right" vertical="center"/>
    </xf>
    <xf numFmtId="165" fontId="40" fillId="0" borderId="0" xfId="0" quotePrefix="1" applyNumberFormat="1" applyFont="1" applyAlignment="1">
      <alignment horizontal="center" vertical="center"/>
    </xf>
    <xf numFmtId="0" fontId="40" fillId="0" borderId="0" xfId="0" quotePrefix="1" applyFont="1" applyAlignment="1">
      <alignment horizontal="center" vertical="center"/>
    </xf>
    <xf numFmtId="167" fontId="40" fillId="0" borderId="0" xfId="0" applyNumberFormat="1" applyFont="1" applyAlignment="1">
      <alignment horizontal="center" vertical="center"/>
    </xf>
    <xf numFmtId="2" fontId="40" fillId="0" borderId="0" xfId="0" quotePrefix="1" applyNumberFormat="1" applyFont="1" applyAlignment="1">
      <alignment horizontal="center" vertical="center"/>
    </xf>
    <xf numFmtId="4" fontId="40" fillId="0" borderId="0" xfId="0" applyNumberFormat="1" applyFont="1" applyAlignment="1">
      <alignment horizontal="left" vertical="center"/>
    </xf>
    <xf numFmtId="1" fontId="40" fillId="14" borderId="0" xfId="0" applyNumberFormat="1" applyFont="1" applyFill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168" fontId="40" fillId="0" borderId="0" xfId="0" applyNumberFormat="1" applyFont="1" applyAlignment="1">
      <alignment horizontal="center" vertical="center"/>
    </xf>
    <xf numFmtId="4" fontId="40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center" vertical="center"/>
    </xf>
    <xf numFmtId="166" fontId="40" fillId="0" borderId="0" xfId="0" quotePrefix="1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165" fontId="40" fillId="0" borderId="0" xfId="0" applyNumberFormat="1" applyFont="1" applyAlignment="1">
      <alignment horizontal="center" vertical="center"/>
    </xf>
    <xf numFmtId="0" fontId="29" fillId="0" borderId="0" xfId="0" applyFont="1"/>
    <xf numFmtId="1" fontId="40" fillId="2" borderId="0" xfId="0" applyNumberFormat="1" applyFont="1" applyFill="1" applyAlignment="1">
      <alignment horizontal="center" vertical="center"/>
    </xf>
    <xf numFmtId="4" fontId="40" fillId="0" borderId="0" xfId="0" quotePrefix="1" applyNumberFormat="1" applyFont="1" applyAlignment="1">
      <alignment horizontal="center" vertical="center"/>
    </xf>
    <xf numFmtId="0" fontId="68" fillId="0" borderId="0" xfId="0" applyFont="1" applyAlignment="1">
      <alignment vertical="center"/>
    </xf>
    <xf numFmtId="0" fontId="40" fillId="0" borderId="0" xfId="0" applyFont="1" applyAlignment="1">
      <alignment vertical="center" textRotation="90"/>
    </xf>
    <xf numFmtId="171" fontId="40" fillId="2" borderId="0" xfId="0" applyNumberFormat="1" applyFont="1" applyFill="1" applyAlignment="1">
      <alignment horizontal="center" vertical="center"/>
    </xf>
    <xf numFmtId="169" fontId="40" fillId="0" borderId="0" xfId="0" applyNumberFormat="1" applyFont="1" applyAlignment="1">
      <alignment horizontal="left" vertical="center"/>
    </xf>
    <xf numFmtId="0" fontId="75" fillId="0" borderId="0" xfId="0" applyFont="1" applyAlignment="1">
      <alignment horizontal="center" vertical="center"/>
    </xf>
    <xf numFmtId="0" fontId="40" fillId="5" borderId="0" xfId="0" applyFont="1" applyFill="1" applyAlignment="1">
      <alignment horizontal="center" vertical="center"/>
    </xf>
    <xf numFmtId="0" fontId="40" fillId="5" borderId="0" xfId="0" quotePrefix="1" applyFont="1" applyFill="1" applyAlignment="1">
      <alignment horizontal="center" vertical="center"/>
    </xf>
    <xf numFmtId="10" fontId="40" fillId="5" borderId="0" xfId="0" applyNumberFormat="1" applyFont="1" applyFill="1" applyAlignment="1">
      <alignment horizontal="center" vertical="center"/>
    </xf>
    <xf numFmtId="2" fontId="40" fillId="5" borderId="0" xfId="0" quotePrefix="1" applyNumberFormat="1" applyFont="1" applyFill="1" applyAlignment="1">
      <alignment horizontal="center" vertical="center"/>
    </xf>
    <xf numFmtId="2" fontId="40" fillId="5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40" fillId="6" borderId="0" xfId="0" quotePrefix="1" applyFont="1" applyFill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2" fontId="40" fillId="6" borderId="0" xfId="0" applyNumberFormat="1" applyFont="1" applyFill="1" applyAlignment="1">
      <alignment horizontal="center" vertical="center"/>
    </xf>
    <xf numFmtId="4" fontId="40" fillId="6" borderId="0" xfId="0" applyNumberFormat="1" applyFont="1" applyFill="1" applyAlignment="1">
      <alignment horizontal="center" vertical="center"/>
    </xf>
    <xf numFmtId="10" fontId="40" fillId="6" borderId="0" xfId="0" applyNumberFormat="1" applyFont="1" applyFill="1" applyAlignment="1">
      <alignment horizontal="center" vertical="center"/>
    </xf>
    <xf numFmtId="4" fontId="40" fillId="6" borderId="0" xfId="0" quotePrefix="1" applyNumberFormat="1" applyFont="1" applyFill="1" applyAlignment="1">
      <alignment horizontal="center" vertical="center"/>
    </xf>
    <xf numFmtId="4" fontId="40" fillId="6" borderId="2" xfId="0" applyNumberFormat="1" applyFont="1" applyFill="1" applyBorder="1" applyAlignment="1">
      <alignment horizontal="center" vertical="center"/>
    </xf>
    <xf numFmtId="2" fontId="40" fillId="6" borderId="0" xfId="0" quotePrefix="1" applyNumberFormat="1" applyFont="1" applyFill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2" fontId="40" fillId="0" borderId="0" xfId="0" applyNumberFormat="1" applyFont="1" applyAlignment="1">
      <alignment vertical="center"/>
    </xf>
    <xf numFmtId="0" fontId="40" fillId="0" borderId="0" xfId="0" quotePrefix="1" applyFont="1" applyAlignment="1">
      <alignment horizontal="left" vertical="center"/>
    </xf>
    <xf numFmtId="2" fontId="83" fillId="0" borderId="0" xfId="0" applyNumberFormat="1" applyFont="1" applyAlignment="1">
      <alignment horizontal="center" vertical="center"/>
    </xf>
    <xf numFmtId="0" fontId="84" fillId="15" borderId="0" xfId="0" applyFont="1" applyFill="1" applyAlignment="1">
      <alignment horizontal="center" vertical="center"/>
    </xf>
    <xf numFmtId="0" fontId="85" fillId="15" borderId="0" xfId="0" applyFont="1" applyFill="1" applyAlignment="1">
      <alignment horizontal="left" vertical="center"/>
    </xf>
    <xf numFmtId="0" fontId="86" fillId="0" borderId="0" xfId="0" quotePrefix="1" applyFont="1" applyAlignment="1">
      <alignment horizontal="left" vertical="center"/>
    </xf>
    <xf numFmtId="0" fontId="84" fillId="15" borderId="0" xfId="0" applyFont="1" applyFill="1" applyAlignment="1">
      <alignment horizontal="left" vertical="center"/>
    </xf>
    <xf numFmtId="0" fontId="87" fillId="8" borderId="0" xfId="0" quotePrefix="1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44" fillId="0" borderId="0" xfId="0" quotePrefix="1" applyFont="1" applyProtection="1">
      <protection locked="0"/>
    </xf>
    <xf numFmtId="0" fontId="44" fillId="0" borderId="0" xfId="0" applyFont="1" applyProtection="1">
      <protection locked="0"/>
    </xf>
    <xf numFmtId="164" fontId="40" fillId="0" borderId="0" xfId="0" applyNumberFormat="1" applyFont="1" applyAlignment="1">
      <alignment horizontal="center"/>
    </xf>
    <xf numFmtId="4" fontId="40" fillId="14" borderId="0" xfId="0" applyNumberFormat="1" applyFont="1" applyFill="1" applyAlignment="1">
      <alignment horizontal="center"/>
    </xf>
    <xf numFmtId="0" fontId="40" fillId="0" borderId="0" xfId="0" applyFont="1"/>
    <xf numFmtId="0" fontId="88" fillId="15" borderId="0" xfId="0" applyFont="1" applyFill="1" applyAlignment="1">
      <alignment horizontal="left"/>
    </xf>
    <xf numFmtId="0" fontId="6" fillId="15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89" fillId="15" borderId="0" xfId="0" applyFont="1" applyFill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0" fillId="0" borderId="0" xfId="0" applyFont="1" applyAlignment="1">
      <alignment horizontal="left"/>
    </xf>
    <xf numFmtId="0" fontId="40" fillId="0" borderId="0" xfId="0" applyFont="1" applyAlignment="1">
      <alignment horizontal="right"/>
    </xf>
    <xf numFmtId="0" fontId="53" fillId="0" borderId="0" xfId="0" applyFont="1" applyAlignment="1">
      <alignment horizontal="left"/>
    </xf>
    <xf numFmtId="2" fontId="40" fillId="0" borderId="0" xfId="0" applyNumberFormat="1" applyFont="1"/>
    <xf numFmtId="0" fontId="3" fillId="0" borderId="55" xfId="0" applyFont="1" applyBorder="1" applyAlignment="1">
      <alignment horizontal="center"/>
    </xf>
    <xf numFmtId="0" fontId="6" fillId="0" borderId="89" xfId="0" applyFont="1" applyBorder="1" applyAlignment="1">
      <alignment horizontal="center"/>
    </xf>
    <xf numFmtId="0" fontId="48" fillId="16" borderId="4" xfId="0" applyFont="1" applyFill="1" applyBorder="1" applyAlignment="1">
      <alignment vertical="center" wrapText="1"/>
    </xf>
    <xf numFmtId="0" fontId="48" fillId="0" borderId="4" xfId="0" applyFont="1" applyBorder="1" applyAlignment="1">
      <alignment horizontal="center"/>
    </xf>
    <xf numFmtId="2" fontId="48" fillId="16" borderId="4" xfId="0" applyNumberFormat="1" applyFont="1" applyFill="1" applyBorder="1" applyAlignment="1">
      <alignment horizontal="center" vertical="center"/>
    </xf>
    <xf numFmtId="165" fontId="48" fillId="15" borderId="4" xfId="0" applyNumberFormat="1" applyFont="1" applyFill="1" applyBorder="1" applyAlignment="1">
      <alignment horizontal="center" vertical="center"/>
    </xf>
    <xf numFmtId="164" fontId="40" fillId="0" borderId="0" xfId="0" applyNumberFormat="1" applyFont="1"/>
    <xf numFmtId="0" fontId="6" fillId="0" borderId="24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8" borderId="25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167" fontId="8" fillId="8" borderId="5" xfId="0" applyNumberFormat="1" applyFont="1" applyFill="1" applyBorder="1" applyAlignment="1">
      <alignment horizontal="center"/>
    </xf>
    <xf numFmtId="167" fontId="8" fillId="0" borderId="6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167" fontId="8" fillId="8" borderId="27" xfId="0" applyNumberFormat="1" applyFont="1" applyFill="1" applyBorder="1" applyAlignment="1">
      <alignment horizontal="center"/>
    </xf>
    <xf numFmtId="167" fontId="8" fillId="0" borderId="28" xfId="0" applyNumberFormat="1" applyFont="1" applyBorder="1" applyAlignment="1">
      <alignment horizontal="center"/>
    </xf>
    <xf numFmtId="0" fontId="62" fillId="0" borderId="0" xfId="0" applyFont="1"/>
    <xf numFmtId="0" fontId="9" fillId="0" borderId="0" xfId="0" applyFont="1" applyAlignment="1">
      <alignment vertical="center"/>
    </xf>
    <xf numFmtId="2" fontId="6" fillId="0" borderId="29" xfId="0" applyNumberFormat="1" applyFont="1" applyBorder="1" applyAlignment="1">
      <alignment horizontal="center"/>
    </xf>
    <xf numFmtId="167" fontId="8" fillId="8" borderId="30" xfId="0" applyNumberFormat="1" applyFont="1" applyFill="1" applyBorder="1" applyAlignment="1">
      <alignment horizontal="center"/>
    </xf>
    <xf numFmtId="167" fontId="8" fillId="0" borderId="31" xfId="0" applyNumberFormat="1" applyFont="1" applyBorder="1" applyAlignment="1">
      <alignment horizontal="center"/>
    </xf>
    <xf numFmtId="167" fontId="8" fillId="8" borderId="0" xfId="0" applyNumberFormat="1" applyFont="1" applyFill="1" applyAlignment="1">
      <alignment horizontal="center"/>
    </xf>
    <xf numFmtId="167" fontId="8" fillId="0" borderId="0" xfId="0" applyNumberFormat="1" applyFont="1" applyAlignment="1">
      <alignment horizontal="center"/>
    </xf>
    <xf numFmtId="0" fontId="62" fillId="0" borderId="0" xfId="0" applyFont="1" applyAlignment="1">
      <alignment horizontal="left"/>
    </xf>
    <xf numFmtId="0" fontId="44" fillId="0" borderId="0" xfId="0" quotePrefix="1" applyFont="1"/>
    <xf numFmtId="0" fontId="40" fillId="0" borderId="55" xfId="0" applyFont="1" applyBorder="1" applyAlignment="1">
      <alignment horizontal="center"/>
    </xf>
    <xf numFmtId="0" fontId="40" fillId="0" borderId="32" xfId="0" applyFont="1" applyBorder="1" applyAlignment="1">
      <alignment horizontal="center" vertical="center"/>
    </xf>
    <xf numFmtId="0" fontId="77" fillId="0" borderId="55" xfId="0" applyFont="1" applyBorder="1" applyAlignment="1">
      <alignment horizontal="center"/>
    </xf>
    <xf numFmtId="0" fontId="44" fillId="0" borderId="0" xfId="0" applyFont="1"/>
    <xf numFmtId="0" fontId="40" fillId="0" borderId="89" xfId="0" applyFont="1" applyBorder="1" applyAlignment="1">
      <alignment horizontal="center"/>
    </xf>
    <xf numFmtId="0" fontId="40" fillId="0" borderId="3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2" fontId="40" fillId="0" borderId="4" xfId="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2" fontId="78" fillId="0" borderId="4" xfId="0" applyNumberFormat="1" applyFont="1" applyBorder="1" applyAlignment="1">
      <alignment horizontal="center" vertical="center"/>
    </xf>
    <xf numFmtId="2" fontId="78" fillId="0" borderId="54" xfId="0" applyNumberFormat="1" applyFont="1" applyBorder="1" applyAlignment="1">
      <alignment horizontal="center" vertical="center"/>
    </xf>
    <xf numFmtId="2" fontId="73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6" fillId="0" borderId="0" xfId="0" quotePrefix="1" applyFont="1" applyAlignment="1">
      <alignment horizontal="center"/>
    </xf>
    <xf numFmtId="0" fontId="66" fillId="0" borderId="0" xfId="0" applyFont="1"/>
    <xf numFmtId="0" fontId="80" fillId="0" borderId="0" xfId="0" quotePrefix="1" applyFont="1"/>
    <xf numFmtId="2" fontId="40" fillId="0" borderId="0" xfId="0" applyNumberFormat="1" applyFont="1" applyAlignment="1">
      <alignment horizontal="left"/>
    </xf>
    <xf numFmtId="4" fontId="40" fillId="0" borderId="0" xfId="0" applyNumberFormat="1" applyFont="1"/>
    <xf numFmtId="0" fontId="46" fillId="0" borderId="0" xfId="0" applyFont="1"/>
    <xf numFmtId="0" fontId="40" fillId="0" borderId="0" xfId="0" quotePrefix="1" applyFont="1" applyAlignment="1">
      <alignment horizontal="right"/>
    </xf>
    <xf numFmtId="165" fontId="40" fillId="0" borderId="0" xfId="0" applyNumberFormat="1" applyFont="1" applyAlignment="1">
      <alignment horizontal="center"/>
    </xf>
    <xf numFmtId="0" fontId="40" fillId="0" borderId="0" xfId="0" quotePrefix="1" applyFont="1"/>
    <xf numFmtId="0" fontId="40" fillId="0" borderId="100" xfId="0" applyFont="1" applyBorder="1" applyAlignment="1">
      <alignment horizontal="center" vertical="center"/>
    </xf>
    <xf numFmtId="0" fontId="40" fillId="0" borderId="101" xfId="0" applyFont="1" applyBorder="1" applyAlignment="1">
      <alignment horizontal="center" vertical="center"/>
    </xf>
    <xf numFmtId="0" fontId="40" fillId="0" borderId="101" xfId="0" applyFont="1" applyBorder="1" applyAlignment="1">
      <alignment horizontal="center" vertical="center" wrapText="1"/>
    </xf>
    <xf numFmtId="0" fontId="40" fillId="0" borderId="102" xfId="0" applyFont="1" applyBorder="1" applyAlignment="1">
      <alignment horizontal="center" vertical="center" wrapText="1"/>
    </xf>
    <xf numFmtId="0" fontId="40" fillId="0" borderId="97" xfId="0" applyFont="1" applyBorder="1" applyAlignment="1">
      <alignment horizontal="center"/>
    </xf>
    <xf numFmtId="2" fontId="40" fillId="0" borderId="98" xfId="0" applyNumberFormat="1" applyFont="1" applyBorder="1" applyAlignment="1">
      <alignment horizontal="center"/>
    </xf>
    <xf numFmtId="4" fontId="40" fillId="0" borderId="98" xfId="0" applyNumberFormat="1" applyFont="1" applyBorder="1" applyAlignment="1">
      <alignment horizontal="center"/>
    </xf>
    <xf numFmtId="165" fontId="40" fillId="0" borderId="98" xfId="0" applyNumberFormat="1" applyFont="1" applyBorder="1" applyAlignment="1">
      <alignment horizontal="center"/>
    </xf>
    <xf numFmtId="164" fontId="40" fillId="0" borderId="113" xfId="0" applyNumberFormat="1" applyFont="1" applyBorder="1" applyAlignment="1">
      <alignment horizontal="center"/>
    </xf>
    <xf numFmtId="2" fontId="40" fillId="0" borderId="99" xfId="0" applyNumberFormat="1" applyFont="1" applyBorder="1" applyAlignment="1">
      <alignment horizontal="center"/>
    </xf>
    <xf numFmtId="4" fontId="15" fillId="0" borderId="0" xfId="0" applyNumberFormat="1" applyFont="1" applyAlignment="1">
      <alignment horizontal="center"/>
    </xf>
    <xf numFmtId="0" fontId="40" fillId="0" borderId="92" xfId="0" applyFont="1" applyBorder="1" applyAlignment="1">
      <alignment horizontal="center"/>
    </xf>
    <xf numFmtId="2" fontId="40" fillId="0" borderId="2" xfId="0" applyNumberFormat="1" applyFont="1" applyBorder="1" applyAlignment="1">
      <alignment horizontal="center"/>
    </xf>
    <xf numFmtId="4" fontId="40" fillId="0" borderId="2" xfId="0" applyNumberFormat="1" applyFont="1" applyBorder="1" applyAlignment="1">
      <alignment horizontal="center"/>
    </xf>
    <xf numFmtId="165" fontId="40" fillId="0" borderId="2" xfId="0" applyNumberFormat="1" applyFont="1" applyBorder="1" applyAlignment="1">
      <alignment horizontal="center"/>
    </xf>
    <xf numFmtId="164" fontId="40" fillId="0" borderId="112" xfId="0" applyNumberFormat="1" applyFont="1" applyBorder="1" applyAlignment="1">
      <alignment horizontal="center"/>
    </xf>
    <xf numFmtId="2" fontId="40" fillId="0" borderId="93" xfId="0" applyNumberFormat="1" applyFont="1" applyBorder="1" applyAlignment="1">
      <alignment horizontal="center"/>
    </xf>
    <xf numFmtId="2" fontId="53" fillId="15" borderId="4" xfId="0" applyNumberFormat="1" applyFont="1" applyFill="1" applyBorder="1" applyAlignment="1">
      <alignment horizontal="center" vertical="center"/>
    </xf>
    <xf numFmtId="2" fontId="40" fillId="0" borderId="95" xfId="0" applyNumberFormat="1" applyFont="1" applyBorder="1" applyAlignment="1">
      <alignment horizontal="center"/>
    </xf>
    <xf numFmtId="2" fontId="40" fillId="0" borderId="96" xfId="0" applyNumberFormat="1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5" fontId="6" fillId="0" borderId="98" xfId="0" applyNumberFormat="1" applyFont="1" applyBorder="1" applyAlignment="1">
      <alignment horizontal="center"/>
    </xf>
    <xf numFmtId="2" fontId="6" fillId="0" borderId="93" xfId="0" applyNumberFormat="1" applyFont="1" applyBorder="1" applyAlignment="1">
      <alignment horizontal="center"/>
    </xf>
    <xf numFmtId="2" fontId="6" fillId="0" borderId="99" xfId="0" applyNumberFormat="1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2" fontId="6" fillId="0" borderId="95" xfId="0" applyNumberFormat="1" applyFont="1" applyBorder="1" applyAlignment="1">
      <alignment horizontal="center"/>
    </xf>
    <xf numFmtId="4" fontId="6" fillId="0" borderId="95" xfId="0" applyNumberFormat="1" applyFont="1" applyBorder="1" applyAlignment="1">
      <alignment horizontal="center"/>
    </xf>
    <xf numFmtId="165" fontId="6" fillId="0" borderId="95" xfId="0" applyNumberFormat="1" applyFont="1" applyBorder="1" applyAlignment="1">
      <alignment horizontal="center"/>
    </xf>
    <xf numFmtId="2" fontId="6" fillId="0" borderId="96" xfId="0" applyNumberFormat="1" applyFont="1" applyBorder="1" applyAlignment="1">
      <alignment horizontal="center"/>
    </xf>
    <xf numFmtId="0" fontId="40" fillId="0" borderId="3" xfId="0" applyFont="1" applyBorder="1"/>
    <xf numFmtId="165" fontId="40" fillId="0" borderId="0" xfId="0" applyNumberFormat="1" applyFont="1" applyAlignment="1">
      <alignment horizontal="left"/>
    </xf>
    <xf numFmtId="0" fontId="45" fillId="0" borderId="0" xfId="0" applyFont="1"/>
    <xf numFmtId="0" fontId="69" fillId="0" borderId="0" xfId="0" applyFont="1" applyAlignment="1">
      <alignment horizontal="left"/>
    </xf>
    <xf numFmtId="164" fontId="40" fillId="2" borderId="0" xfId="0" applyNumberFormat="1" applyFont="1" applyFill="1" applyAlignment="1">
      <alignment horizontal="left"/>
    </xf>
    <xf numFmtId="165" fontId="40" fillId="2" borderId="0" xfId="0" applyNumberFormat="1" applyFont="1" applyFill="1"/>
    <xf numFmtId="165" fontId="40" fillId="0" borderId="0" xfId="0" applyNumberFormat="1" applyFont="1"/>
    <xf numFmtId="0" fontId="16" fillId="0" borderId="0" xfId="0" applyFont="1" applyAlignment="1">
      <alignment horizontal="center"/>
    </xf>
    <xf numFmtId="0" fontId="47" fillId="0" borderId="0" xfId="0" applyFont="1"/>
    <xf numFmtId="0" fontId="40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left"/>
    </xf>
    <xf numFmtId="0" fontId="34" fillId="0" borderId="3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0" fontId="40" fillId="0" borderId="0" xfId="0" quotePrefix="1" applyFont="1" applyAlignment="1">
      <alignment vertical="center"/>
    </xf>
    <xf numFmtId="0" fontId="73" fillId="0" borderId="0" xfId="0" applyFont="1"/>
    <xf numFmtId="0" fontId="49" fillId="0" borderId="0" xfId="0" applyFont="1"/>
    <xf numFmtId="0" fontId="71" fillId="0" borderId="0" xfId="0" applyFont="1"/>
    <xf numFmtId="0" fontId="6" fillId="14" borderId="0" xfId="0" applyFont="1" applyFill="1"/>
    <xf numFmtId="0" fontId="6" fillId="14" borderId="0" xfId="0" applyFont="1" applyFill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8" borderId="34" xfId="0" applyFont="1" applyFill="1" applyBorder="1" applyAlignment="1">
      <alignment horizontal="center"/>
    </xf>
    <xf numFmtId="0" fontId="6" fillId="0" borderId="37" xfId="0" applyFont="1" applyBorder="1" applyAlignment="1">
      <alignment horizontal="center"/>
    </xf>
    <xf numFmtId="2" fontId="6" fillId="0" borderId="0" xfId="0" applyNumberFormat="1" applyFont="1" applyAlignment="1">
      <alignment horizontal="right"/>
    </xf>
    <xf numFmtId="0" fontId="17" fillId="0" borderId="0" xfId="0" applyFont="1"/>
    <xf numFmtId="0" fontId="14" fillId="0" borderId="0" xfId="0" applyFont="1"/>
    <xf numFmtId="0" fontId="6" fillId="0" borderId="0" xfId="0" quotePrefix="1" applyFont="1"/>
    <xf numFmtId="0" fontId="6" fillId="0" borderId="0" xfId="0" quotePrefix="1" applyFont="1" applyAlignment="1">
      <alignment horizontal="right"/>
    </xf>
    <xf numFmtId="4" fontId="6" fillId="0" borderId="2" xfId="0" applyNumberFormat="1" applyFont="1" applyBorder="1"/>
    <xf numFmtId="171" fontId="6" fillId="14" borderId="0" xfId="0" applyNumberFormat="1" applyFont="1" applyFill="1" applyAlignment="1">
      <alignment horizontal="center"/>
    </xf>
    <xf numFmtId="168" fontId="6" fillId="0" borderId="0" xfId="0" applyNumberFormat="1" applyFont="1" applyAlignment="1">
      <alignment horizontal="center"/>
    </xf>
    <xf numFmtId="0" fontId="18" fillId="0" borderId="0" xfId="0" applyFont="1"/>
    <xf numFmtId="166" fontId="6" fillId="0" borderId="0" xfId="0" applyNumberFormat="1" applyFont="1"/>
    <xf numFmtId="4" fontId="15" fillId="0" borderId="0" xfId="0" applyNumberFormat="1" applyFont="1"/>
    <xf numFmtId="4" fontId="6" fillId="0" borderId="0" xfId="0" applyNumberFormat="1" applyFont="1"/>
    <xf numFmtId="4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left"/>
    </xf>
    <xf numFmtId="167" fontId="6" fillId="0" borderId="2" xfId="0" applyNumberFormat="1" applyFont="1" applyBorder="1"/>
    <xf numFmtId="167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left"/>
    </xf>
    <xf numFmtId="168" fontId="15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left"/>
    </xf>
    <xf numFmtId="168" fontId="6" fillId="8" borderId="0" xfId="0" applyNumberFormat="1" applyFont="1" applyFill="1" applyAlignment="1">
      <alignment horizontal="center"/>
    </xf>
    <xf numFmtId="168" fontId="15" fillId="0" borderId="0" xfId="0" applyNumberFormat="1" applyFont="1"/>
    <xf numFmtId="3" fontId="6" fillId="0" borderId="0" xfId="0" applyNumberFormat="1" applyFont="1"/>
    <xf numFmtId="167" fontId="6" fillId="0" borderId="0" xfId="0" applyNumberFormat="1" applyFont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8" fontId="6" fillId="0" borderId="0" xfId="0" applyNumberFormat="1" applyFont="1"/>
    <xf numFmtId="171" fontId="6" fillId="2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left"/>
    </xf>
    <xf numFmtId="4" fontId="6" fillId="0" borderId="0" xfId="0" quotePrefix="1" applyNumberFormat="1" applyFont="1" applyAlignment="1">
      <alignment horizontal="center"/>
    </xf>
    <xf numFmtId="0" fontId="6" fillId="2" borderId="0" xfId="0" applyFont="1" applyFill="1" applyAlignment="1">
      <alignment horizontal="left"/>
    </xf>
    <xf numFmtId="4" fontId="6" fillId="2" borderId="0" xfId="0" applyNumberFormat="1" applyFont="1" applyFill="1" applyAlignment="1">
      <alignment horizontal="left"/>
    </xf>
    <xf numFmtId="4" fontId="6" fillId="2" borderId="0" xfId="0" applyNumberFormat="1" applyFont="1" applyFill="1"/>
    <xf numFmtId="0" fontId="6" fillId="2" borderId="0" xfId="0" applyFont="1" applyFill="1" applyAlignment="1">
      <alignment horizontal="right"/>
    </xf>
    <xf numFmtId="169" fontId="6" fillId="0" borderId="0" xfId="0" applyNumberFormat="1" applyFont="1"/>
    <xf numFmtId="0" fontId="6" fillId="0" borderId="0" xfId="0" quotePrefix="1" applyFont="1" applyAlignment="1">
      <alignment horizontal="left"/>
    </xf>
    <xf numFmtId="2" fontId="6" fillId="0" borderId="2" xfId="0" applyNumberFormat="1" applyFont="1" applyBorder="1"/>
    <xf numFmtId="0" fontId="6" fillId="5" borderId="0" xfId="0" applyFont="1" applyFill="1"/>
    <xf numFmtId="0" fontId="6" fillId="5" borderId="0" xfId="0" quotePrefix="1" applyFont="1" applyFill="1" applyAlignment="1">
      <alignment horizontal="right"/>
    </xf>
    <xf numFmtId="10" fontId="6" fillId="5" borderId="0" xfId="0" applyNumberFormat="1" applyFont="1" applyFill="1" applyAlignment="1">
      <alignment horizontal="right"/>
    </xf>
    <xf numFmtId="2" fontId="6" fillId="5" borderId="0" xfId="0" quotePrefix="1" applyNumberFormat="1" applyFont="1" applyFill="1"/>
    <xf numFmtId="2" fontId="6" fillId="5" borderId="0" xfId="0" applyNumberFormat="1" applyFont="1" applyFill="1"/>
    <xf numFmtId="10" fontId="6" fillId="0" borderId="0" xfId="0" applyNumberFormat="1" applyFont="1" applyAlignment="1">
      <alignment horizontal="center"/>
    </xf>
    <xf numFmtId="2" fontId="6" fillId="0" borderId="0" xfId="0" quotePrefix="1" applyNumberFormat="1" applyFont="1" applyAlignment="1">
      <alignment horizontal="center"/>
    </xf>
    <xf numFmtId="0" fontId="8" fillId="6" borderId="0" xfId="0" applyFont="1" applyFill="1"/>
    <xf numFmtId="0" fontId="6" fillId="6" borderId="0" xfId="0" quotePrefix="1" applyFont="1" applyFill="1" applyAlignment="1">
      <alignment horizontal="right"/>
    </xf>
    <xf numFmtId="0" fontId="6" fillId="6" borderId="0" xfId="0" applyFont="1" applyFill="1" applyAlignment="1">
      <alignment horizontal="left"/>
    </xf>
    <xf numFmtId="2" fontId="6" fillId="6" borderId="0" xfId="0" applyNumberFormat="1" applyFont="1" applyFill="1"/>
    <xf numFmtId="0" fontId="6" fillId="6" borderId="0" xfId="0" applyFont="1" applyFill="1"/>
    <xf numFmtId="0" fontId="6" fillId="6" borderId="0" xfId="0" applyFont="1" applyFill="1" applyAlignment="1">
      <alignment horizontal="right"/>
    </xf>
    <xf numFmtId="4" fontId="6" fillId="6" borderId="0" xfId="0" applyNumberFormat="1" applyFont="1" applyFill="1" applyAlignment="1">
      <alignment horizontal="left"/>
    </xf>
    <xf numFmtId="10" fontId="6" fillId="6" borderId="0" xfId="0" applyNumberFormat="1" applyFont="1" applyFill="1"/>
    <xf numFmtId="0" fontId="6" fillId="6" borderId="0" xfId="0" quotePrefix="1" applyFont="1" applyFill="1" applyAlignment="1">
      <alignment horizontal="left"/>
    </xf>
    <xf numFmtId="4" fontId="6" fillId="6" borderId="0" xfId="0" quotePrefix="1" applyNumberFormat="1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4" fontId="6" fillId="6" borderId="2" xfId="0" applyNumberFormat="1" applyFont="1" applyFill="1" applyBorder="1"/>
    <xf numFmtId="10" fontId="6" fillId="6" borderId="0" xfId="0" applyNumberFormat="1" applyFont="1" applyFill="1" applyAlignment="1">
      <alignment horizontal="center"/>
    </xf>
    <xf numFmtId="2" fontId="6" fillId="6" borderId="0" xfId="0" quotePrefix="1" applyNumberFormat="1" applyFont="1" applyFill="1"/>
    <xf numFmtId="2" fontId="6" fillId="6" borderId="0" xfId="0" applyNumberFormat="1" applyFont="1" applyFill="1" applyAlignment="1">
      <alignment horizontal="center"/>
    </xf>
    <xf numFmtId="10" fontId="6" fillId="6" borderId="0" xfId="0" applyNumberFormat="1" applyFont="1" applyFill="1" applyAlignment="1">
      <alignment horizontal="left"/>
    </xf>
    <xf numFmtId="0" fontId="8" fillId="3" borderId="0" xfId="0" applyFont="1" applyFill="1"/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4" fontId="6" fillId="3" borderId="0" xfId="0" applyNumberFormat="1" applyFont="1" applyFill="1" applyAlignment="1">
      <alignment horizontal="right"/>
    </xf>
    <xf numFmtId="0" fontId="6" fillId="3" borderId="0" xfId="0" applyFont="1" applyFill="1"/>
    <xf numFmtId="0" fontId="6" fillId="3" borderId="0" xfId="0" applyFont="1" applyFill="1" applyAlignment="1">
      <alignment horizontal="right"/>
    </xf>
    <xf numFmtId="4" fontId="6" fillId="3" borderId="0" xfId="0" applyNumberFormat="1" applyFont="1" applyFill="1"/>
    <xf numFmtId="2" fontId="6" fillId="3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20" fillId="0" borderId="72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" fillId="8" borderId="24" xfId="0" applyFont="1" applyFill="1" applyBorder="1" applyAlignment="1">
      <alignment horizontal="left"/>
    </xf>
    <xf numFmtId="0" fontId="1" fillId="8" borderId="23" xfId="0" applyFont="1" applyFill="1" applyBorder="1" applyAlignment="1">
      <alignment horizontal="center"/>
    </xf>
    <xf numFmtId="0" fontId="0" fillId="0" borderId="27" xfId="0" applyBorder="1"/>
    <xf numFmtId="0" fontId="31" fillId="0" borderId="27" xfId="0" applyFont="1" applyBorder="1" applyAlignment="1">
      <alignment horizontal="center"/>
    </xf>
    <xf numFmtId="0" fontId="31" fillId="0" borderId="27" xfId="0" applyFont="1" applyBorder="1"/>
    <xf numFmtId="0" fontId="21" fillId="0" borderId="0" xfId="0" applyFont="1" applyAlignment="1">
      <alignment horizontal="center"/>
    </xf>
    <xf numFmtId="0" fontId="19" fillId="2" borderId="0" xfId="0" applyFont="1" applyFill="1" applyAlignment="1">
      <alignment horizontal="center"/>
    </xf>
    <xf numFmtId="0" fontId="1" fillId="8" borderId="53" xfId="0" applyFont="1" applyFill="1" applyBorder="1" applyAlignment="1">
      <alignment horizontal="center"/>
    </xf>
    <xf numFmtId="3" fontId="1" fillId="8" borderId="85" xfId="0" applyNumberFormat="1" applyFont="1" applyFill="1" applyBorder="1" applyAlignment="1">
      <alignment horizontal="center"/>
    </xf>
    <xf numFmtId="0" fontId="31" fillId="2" borderId="27" xfId="0" applyFont="1" applyFill="1" applyBorder="1" applyAlignment="1">
      <alignment horizontal="center"/>
    </xf>
    <xf numFmtId="2" fontId="31" fillId="0" borderId="27" xfId="0" applyNumberFormat="1" applyFont="1" applyBorder="1"/>
    <xf numFmtId="4" fontId="19" fillId="0" borderId="22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4" fontId="19" fillId="0" borderId="21" xfId="0" applyNumberFormat="1" applyFont="1" applyBorder="1" applyAlignment="1">
      <alignment horizontal="center"/>
    </xf>
    <xf numFmtId="4" fontId="19" fillId="0" borderId="0" xfId="0" applyNumberFormat="1" applyFont="1" applyAlignment="1">
      <alignment horizontal="center"/>
    </xf>
    <xf numFmtId="0" fontId="19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9" fillId="7" borderId="0" xfId="0" applyFont="1" applyFill="1" applyAlignment="1">
      <alignment horizontal="center"/>
    </xf>
    <xf numFmtId="0" fontId="1" fillId="0" borderId="40" xfId="0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2" fontId="1" fillId="0" borderId="42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0" borderId="43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2" fontId="1" fillId="0" borderId="46" xfId="0" applyNumberFormat="1" applyFont="1" applyBorder="1" applyAlignment="1">
      <alignment horizontal="center"/>
    </xf>
    <xf numFmtId="0" fontId="1" fillId="7" borderId="46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22" fillId="2" borderId="49" xfId="0" applyFont="1" applyFill="1" applyBorder="1" applyAlignment="1">
      <alignment horizontal="center"/>
    </xf>
    <xf numFmtId="0" fontId="0" fillId="0" borderId="61" xfId="0" applyBorder="1"/>
    <xf numFmtId="0" fontId="31" fillId="2" borderId="61" xfId="0" applyFont="1" applyFill="1" applyBorder="1" applyAlignment="1">
      <alignment horizontal="center"/>
    </xf>
    <xf numFmtId="2" fontId="31" fillId="0" borderId="61" xfId="0" applyNumberFormat="1" applyFont="1" applyBorder="1"/>
    <xf numFmtId="0" fontId="1" fillId="0" borderId="50" xfId="0" applyFont="1" applyBorder="1" applyAlignment="1">
      <alignment horizontal="center"/>
    </xf>
    <xf numFmtId="0" fontId="1" fillId="7" borderId="51" xfId="0" applyFont="1" applyFill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7" borderId="55" xfId="0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56" xfId="0" applyFont="1" applyFill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0" fillId="5" borderId="56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1" fillId="0" borderId="61" xfId="0" applyFont="1" applyBorder="1" applyAlignment="1">
      <alignment horizontal="center"/>
    </xf>
    <xf numFmtId="167" fontId="1" fillId="7" borderId="61" xfId="0" applyNumberFormat="1" applyFont="1" applyFill="1" applyBorder="1" applyAlignment="1">
      <alignment horizontal="center"/>
    </xf>
    <xf numFmtId="167" fontId="1" fillId="0" borderId="61" xfId="0" applyNumberFormat="1" applyFont="1" applyBorder="1" applyAlignment="1">
      <alignment horizontal="center"/>
    </xf>
    <xf numFmtId="167" fontId="1" fillId="0" borderId="82" xfId="0" applyNumberFormat="1" applyFont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5" borderId="64" xfId="0" applyFont="1" applyFill="1" applyBorder="1" applyAlignment="1">
      <alignment horizontal="center"/>
    </xf>
    <xf numFmtId="0" fontId="1" fillId="5" borderId="65" xfId="0" applyFont="1" applyFill="1" applyBorder="1" applyAlignment="1">
      <alignment horizontal="center"/>
    </xf>
    <xf numFmtId="0" fontId="1" fillId="0" borderId="66" xfId="0" applyFont="1" applyBorder="1" applyAlignment="1">
      <alignment horizontal="center"/>
    </xf>
    <xf numFmtId="167" fontId="1" fillId="0" borderId="67" xfId="0" applyNumberFormat="1" applyFont="1" applyBorder="1" applyAlignment="1">
      <alignment horizontal="center"/>
    </xf>
    <xf numFmtId="167" fontId="1" fillId="0" borderId="68" xfId="0" applyNumberFormat="1" applyFont="1" applyBorder="1" applyAlignment="1">
      <alignment horizontal="center"/>
    </xf>
    <xf numFmtId="167" fontId="1" fillId="0" borderId="50" xfId="0" applyNumberFormat="1" applyFont="1" applyBorder="1" applyAlignment="1">
      <alignment horizontal="center"/>
    </xf>
    <xf numFmtId="167" fontId="1" fillId="0" borderId="51" xfId="0" applyNumberFormat="1" applyFont="1" applyBorder="1" applyAlignment="1">
      <alignment horizontal="center"/>
    </xf>
    <xf numFmtId="167" fontId="1" fillId="0" borderId="52" xfId="0" applyNumberFormat="1" applyFont="1" applyBorder="1" applyAlignment="1">
      <alignment horizontal="center"/>
    </xf>
    <xf numFmtId="167" fontId="1" fillId="7" borderId="50" xfId="0" applyNumberFormat="1" applyFont="1" applyFill="1" applyBorder="1" applyAlignment="1">
      <alignment horizontal="center"/>
    </xf>
    <xf numFmtId="167" fontId="1" fillId="7" borderId="69" xfId="0" applyNumberFormat="1" applyFont="1" applyFill="1" applyBorder="1" applyAlignment="1">
      <alignment horizontal="center"/>
    </xf>
    <xf numFmtId="167" fontId="1" fillId="7" borderId="70" xfId="0" applyNumberFormat="1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165" fontId="24" fillId="4" borderId="14" xfId="0" applyNumberFormat="1" applyFont="1" applyFill="1" applyBorder="1" applyAlignment="1">
      <alignment horizontal="center"/>
    </xf>
    <xf numFmtId="2" fontId="24" fillId="4" borderId="14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/>
    </xf>
    <xf numFmtId="2" fontId="24" fillId="4" borderId="0" xfId="0" applyNumberFormat="1" applyFont="1" applyFill="1" applyAlignment="1">
      <alignment horizontal="center"/>
    </xf>
    <xf numFmtId="0" fontId="25" fillId="0" borderId="15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0" xfId="0" applyFont="1" applyAlignment="1">
      <alignment horizontal="center"/>
    </xf>
    <xf numFmtId="2" fontId="25" fillId="0" borderId="73" xfId="0" applyNumberFormat="1" applyFont="1" applyBorder="1" applyAlignment="1">
      <alignment horizontal="center"/>
    </xf>
    <xf numFmtId="165" fontId="27" fillId="0" borderId="6" xfId="0" applyNumberFormat="1" applyFont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25" fillId="0" borderId="5" xfId="0" applyFont="1" applyBorder="1" applyAlignment="1">
      <alignment horizontal="center"/>
    </xf>
    <xf numFmtId="165" fontId="25" fillId="0" borderId="5" xfId="0" applyNumberFormat="1" applyFont="1" applyBorder="1" applyAlignment="1">
      <alignment horizontal="center"/>
    </xf>
    <xf numFmtId="2" fontId="25" fillId="0" borderId="6" xfId="0" applyNumberFormat="1" applyFont="1" applyBorder="1" applyAlignment="1">
      <alignment horizontal="center"/>
    </xf>
    <xf numFmtId="2" fontId="2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5" fillId="0" borderId="27" xfId="0" applyFont="1" applyBorder="1" applyAlignment="1">
      <alignment horizontal="center"/>
    </xf>
    <xf numFmtId="2" fontId="25" fillId="0" borderId="27" xfId="0" applyNumberFormat="1" applyFont="1" applyBorder="1" applyAlignment="1">
      <alignment horizontal="center"/>
    </xf>
    <xf numFmtId="165" fontId="27" fillId="0" borderId="28" xfId="0" applyNumberFormat="1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165" fontId="25" fillId="0" borderId="27" xfId="0" applyNumberFormat="1" applyFont="1" applyBorder="1" applyAlignment="1">
      <alignment horizontal="center"/>
    </xf>
    <xf numFmtId="2" fontId="25" fillId="0" borderId="28" xfId="0" applyNumberFormat="1" applyFont="1" applyBorder="1" applyAlignment="1">
      <alignment horizontal="center"/>
    </xf>
    <xf numFmtId="0" fontId="0" fillId="2" borderId="46" xfId="0" applyFill="1" applyBorder="1" applyAlignment="1">
      <alignment horizontal="center"/>
    </xf>
    <xf numFmtId="165" fontId="25" fillId="2" borderId="46" xfId="0" applyNumberFormat="1" applyFont="1" applyFill="1" applyBorder="1" applyAlignment="1">
      <alignment horizontal="center"/>
    </xf>
    <xf numFmtId="0" fontId="25" fillId="2" borderId="46" xfId="0" applyFont="1" applyFill="1" applyBorder="1" applyAlignment="1">
      <alignment horizontal="center"/>
    </xf>
    <xf numFmtId="2" fontId="25" fillId="2" borderId="49" xfId="0" applyNumberFormat="1" applyFont="1" applyFill="1" applyBorder="1" applyAlignment="1">
      <alignment horizontal="center"/>
    </xf>
    <xf numFmtId="0" fontId="25" fillId="0" borderId="46" xfId="0" applyFont="1" applyBorder="1" applyAlignment="1">
      <alignment horizontal="center"/>
    </xf>
    <xf numFmtId="2" fontId="25" fillId="0" borderId="46" xfId="0" applyNumberFormat="1" applyFont="1" applyBorder="1" applyAlignment="1">
      <alignment horizontal="center"/>
    </xf>
    <xf numFmtId="165" fontId="27" fillId="0" borderId="49" xfId="0" applyNumberFormat="1" applyFont="1" applyBorder="1" applyAlignment="1">
      <alignment horizontal="center"/>
    </xf>
    <xf numFmtId="0" fontId="0" fillId="2" borderId="73" xfId="0" applyFill="1" applyBorder="1" applyAlignment="1">
      <alignment horizontal="center"/>
    </xf>
    <xf numFmtId="165" fontId="25" fillId="2" borderId="73" xfId="0" applyNumberFormat="1" applyFont="1" applyFill="1" applyBorder="1" applyAlignment="1">
      <alignment horizontal="center"/>
    </xf>
    <xf numFmtId="0" fontId="25" fillId="2" borderId="73" xfId="0" applyFont="1" applyFill="1" applyBorder="1" applyAlignment="1">
      <alignment horizontal="center"/>
    </xf>
    <xf numFmtId="2" fontId="25" fillId="2" borderId="74" xfId="0" applyNumberFormat="1" applyFont="1" applyFill="1" applyBorder="1" applyAlignment="1">
      <alignment horizontal="center"/>
    </xf>
    <xf numFmtId="0" fontId="28" fillId="10" borderId="14" xfId="0" applyFont="1" applyFill="1" applyBorder="1" applyAlignment="1">
      <alignment horizontal="center"/>
    </xf>
    <xf numFmtId="4" fontId="28" fillId="10" borderId="25" xfId="0" applyNumberFormat="1" applyFont="1" applyFill="1" applyBorder="1" applyAlignment="1">
      <alignment horizontal="center"/>
    </xf>
    <xf numFmtId="2" fontId="25" fillId="0" borderId="15" xfId="0" applyNumberFormat="1" applyFont="1" applyBorder="1" applyAlignment="1">
      <alignment horizontal="center"/>
    </xf>
    <xf numFmtId="4" fontId="28" fillId="6" borderId="25" xfId="0" applyNumberFormat="1" applyFont="1" applyFill="1" applyBorder="1" applyAlignment="1">
      <alignment horizontal="center"/>
    </xf>
    <xf numFmtId="0" fontId="0" fillId="11" borderId="46" xfId="0" applyFill="1" applyBorder="1" applyAlignment="1">
      <alignment horizontal="center"/>
    </xf>
    <xf numFmtId="165" fontId="25" fillId="11" borderId="46" xfId="0" applyNumberFormat="1" applyFont="1" applyFill="1" applyBorder="1" applyAlignment="1">
      <alignment horizontal="center"/>
    </xf>
    <xf numFmtId="0" fontId="25" fillId="11" borderId="46" xfId="0" applyFont="1" applyFill="1" applyBorder="1" applyAlignment="1">
      <alignment horizontal="center"/>
    </xf>
    <xf numFmtId="2" fontId="25" fillId="11" borderId="49" xfId="0" applyNumberFormat="1" applyFont="1" applyFill="1" applyBorder="1" applyAlignment="1">
      <alignment horizontal="center"/>
    </xf>
    <xf numFmtId="165" fontId="19" fillId="0" borderId="0" xfId="0" applyNumberFormat="1" applyFont="1" applyAlignment="1">
      <alignment horizontal="left"/>
    </xf>
    <xf numFmtId="165" fontId="19" fillId="0" borderId="0" xfId="0" applyNumberFormat="1" applyFont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7" borderId="75" xfId="0" applyFont="1" applyFill="1" applyBorder="1" applyAlignment="1">
      <alignment horizontal="center"/>
    </xf>
    <xf numFmtId="4" fontId="28" fillId="8" borderId="25" xfId="0" applyNumberFormat="1" applyFont="1" applyFill="1" applyBorder="1" applyAlignment="1">
      <alignment horizontal="center"/>
    </xf>
    <xf numFmtId="0" fontId="25" fillId="11" borderId="73" xfId="0" applyFont="1" applyFill="1" applyBorder="1" applyAlignment="1">
      <alignment horizontal="center"/>
    </xf>
    <xf numFmtId="165" fontId="25" fillId="11" borderId="73" xfId="0" applyNumberFormat="1" applyFont="1" applyFill="1" applyBorder="1" applyAlignment="1">
      <alignment horizontal="center"/>
    </xf>
    <xf numFmtId="2" fontId="25" fillId="11" borderId="74" xfId="0" applyNumberFormat="1" applyFont="1" applyFill="1" applyBorder="1" applyAlignment="1">
      <alignment horizontal="center"/>
    </xf>
    <xf numFmtId="165" fontId="28" fillId="4" borderId="25" xfId="0" applyNumberFormat="1" applyFont="1" applyFill="1" applyBorder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2" fontId="25" fillId="0" borderId="76" xfId="0" applyNumberFormat="1" applyFont="1" applyBorder="1" applyAlignment="1">
      <alignment horizontal="center"/>
    </xf>
    <xf numFmtId="0" fontId="25" fillId="0" borderId="76" xfId="0" applyFont="1" applyBorder="1" applyAlignment="1">
      <alignment horizontal="center"/>
    </xf>
    <xf numFmtId="165" fontId="28" fillId="4" borderId="77" xfId="0" applyNumberFormat="1" applyFont="1" applyFill="1" applyBorder="1" applyAlignment="1">
      <alignment horizontal="center"/>
    </xf>
    <xf numFmtId="167" fontId="1" fillId="0" borderId="27" xfId="0" applyNumberFormat="1" applyFont="1" applyBorder="1" applyAlignment="1">
      <alignment horizontal="center"/>
    </xf>
    <xf numFmtId="165" fontId="28" fillId="4" borderId="0" xfId="0" applyNumberFormat="1" applyFont="1" applyFill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4" fontId="25" fillId="0" borderId="5" xfId="0" applyNumberFormat="1" applyFont="1" applyBorder="1" applyAlignment="1">
      <alignment horizontal="center"/>
    </xf>
    <xf numFmtId="167" fontId="25" fillId="0" borderId="5" xfId="0" applyNumberFormat="1" applyFont="1" applyBorder="1" applyAlignment="1">
      <alignment horizontal="center"/>
    </xf>
    <xf numFmtId="4" fontId="19" fillId="0" borderId="5" xfId="0" applyNumberFormat="1" applyFont="1" applyBorder="1" applyAlignment="1">
      <alignment horizontal="center"/>
    </xf>
    <xf numFmtId="4" fontId="19" fillId="0" borderId="6" xfId="0" applyNumberFormat="1" applyFont="1" applyBorder="1" applyAlignment="1">
      <alignment horizontal="center"/>
    </xf>
    <xf numFmtId="4" fontId="25" fillId="0" borderId="27" xfId="0" applyNumberFormat="1" applyFont="1" applyBorder="1" applyAlignment="1">
      <alignment horizontal="center"/>
    </xf>
    <xf numFmtId="167" fontId="25" fillId="0" borderId="27" xfId="0" applyNumberFormat="1" applyFont="1" applyBorder="1" applyAlignment="1">
      <alignment horizontal="center"/>
    </xf>
    <xf numFmtId="4" fontId="19" fillId="0" borderId="27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8" borderId="27" xfId="0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4" fontId="25" fillId="0" borderId="30" xfId="0" applyNumberFormat="1" applyFont="1" applyBorder="1" applyAlignment="1">
      <alignment horizontal="center"/>
    </xf>
    <xf numFmtId="167" fontId="25" fillId="0" borderId="30" xfId="0" applyNumberFormat="1" applyFont="1" applyBorder="1" applyAlignment="1">
      <alignment horizontal="center"/>
    </xf>
    <xf numFmtId="4" fontId="19" fillId="0" borderId="30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8" borderId="0" xfId="0" applyFill="1" applyAlignment="1">
      <alignment horizontal="center"/>
    </xf>
    <xf numFmtId="167" fontId="25" fillId="0" borderId="0" xfId="0" applyNumberFormat="1" applyFont="1" applyAlignment="1">
      <alignment horizontal="center"/>
    </xf>
    <xf numFmtId="4" fontId="19" fillId="2" borderId="67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8" borderId="27" xfId="0" applyFont="1" applyFill="1" applyBorder="1" applyAlignment="1">
      <alignment horizontal="center"/>
    </xf>
    <xf numFmtId="0" fontId="25" fillId="7" borderId="27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25" fillId="0" borderId="29" xfId="0" applyFont="1" applyBorder="1" applyAlignment="1">
      <alignment horizontal="center"/>
    </xf>
    <xf numFmtId="0" fontId="1" fillId="9" borderId="30" xfId="0" applyFont="1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165" fontId="25" fillId="0" borderId="30" xfId="0" applyNumberFormat="1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2" fontId="25" fillId="0" borderId="31" xfId="0" applyNumberFormat="1" applyFont="1" applyBorder="1" applyAlignment="1">
      <alignment horizontal="center"/>
    </xf>
    <xf numFmtId="0" fontId="1" fillId="7" borderId="59" xfId="0" applyFont="1" applyFill="1" applyBorder="1" applyAlignment="1">
      <alignment horizontal="center"/>
    </xf>
    <xf numFmtId="4" fontId="19" fillId="0" borderId="59" xfId="0" applyNumberFormat="1" applyFont="1" applyBorder="1" applyAlignment="1">
      <alignment horizontal="center"/>
    </xf>
    <xf numFmtId="165" fontId="27" fillId="0" borderId="27" xfId="0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0" fillId="7" borderId="27" xfId="0" applyFill="1" applyBorder="1" applyAlignment="1">
      <alignment horizontal="center"/>
    </xf>
    <xf numFmtId="165" fontId="0" fillId="0" borderId="2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19" fillId="4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3" fillId="15" borderId="0" xfId="0" quotePrefix="1" applyFont="1" applyFill="1" applyAlignment="1">
      <alignment horizontal="center" vertical="center"/>
    </xf>
    <xf numFmtId="14" fontId="36" fillId="0" borderId="0" xfId="0" applyNumberFormat="1" applyFont="1" applyAlignment="1" applyProtection="1">
      <alignment vertical="center"/>
      <protection locked="0"/>
    </xf>
    <xf numFmtId="0" fontId="6" fillId="0" borderId="5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6" fillId="0" borderId="59" xfId="0" applyFont="1" applyBorder="1" applyAlignment="1">
      <alignment vertical="center"/>
    </xf>
    <xf numFmtId="4" fontId="6" fillId="0" borderId="59" xfId="0" applyNumberFormat="1" applyFont="1" applyBorder="1" applyAlignment="1">
      <alignment horizontal="right" vertical="center"/>
    </xf>
    <xf numFmtId="0" fontId="6" fillId="0" borderId="27" xfId="0" applyFont="1" applyBorder="1" applyAlignment="1">
      <alignment vertical="center"/>
    </xf>
    <xf numFmtId="4" fontId="6" fillId="0" borderId="27" xfId="0" applyNumberFormat="1" applyFont="1" applyBorder="1" applyAlignment="1">
      <alignment horizontal="right" vertical="center"/>
    </xf>
    <xf numFmtId="0" fontId="6" fillId="0" borderId="46" xfId="0" applyFont="1" applyBorder="1" applyAlignment="1">
      <alignment vertical="center"/>
    </xf>
    <xf numFmtId="0" fontId="6" fillId="0" borderId="61" xfId="0" applyFont="1" applyBorder="1" applyAlignment="1">
      <alignment vertical="center"/>
    </xf>
    <xf numFmtId="4" fontId="6" fillId="0" borderId="61" xfId="0" applyNumberFormat="1" applyFont="1" applyBorder="1" applyAlignment="1">
      <alignment horizontal="right" vertical="center"/>
    </xf>
    <xf numFmtId="0" fontId="48" fillId="16" borderId="4" xfId="0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horizontal="center" vertical="center" wrapText="1"/>
    </xf>
    <xf numFmtId="2" fontId="48" fillId="16" borderId="4" xfId="0" applyNumberFormat="1" applyFont="1" applyFill="1" applyBorder="1" applyAlignment="1">
      <alignment horizontal="center" vertical="center" wrapText="1"/>
    </xf>
    <xf numFmtId="0" fontId="83" fillId="0" borderId="4" xfId="0" applyFont="1" applyBorder="1" applyAlignment="1">
      <alignment vertical="center"/>
    </xf>
    <xf numFmtId="0" fontId="83" fillId="0" borderId="0" xfId="0" applyFont="1"/>
    <xf numFmtId="0" fontId="83" fillId="0" borderId="0" xfId="0" applyFont="1" applyAlignment="1">
      <alignment horizontal="right"/>
    </xf>
    <xf numFmtId="2" fontId="40" fillId="0" borderId="0" xfId="0" applyNumberFormat="1" applyFont="1" applyAlignment="1">
      <alignment horizontal="right"/>
    </xf>
    <xf numFmtId="0" fontId="80" fillId="0" borderId="0" xfId="0" applyFont="1" applyAlignment="1">
      <alignment horizontal="right" vertical="center"/>
    </xf>
    <xf numFmtId="1" fontId="40" fillId="0" borderId="0" xfId="0" applyNumberFormat="1" applyFont="1" applyAlignment="1">
      <alignment horizontal="center" vertical="center"/>
    </xf>
    <xf numFmtId="165" fontId="40" fillId="0" borderId="0" xfId="0" applyNumberFormat="1" applyFont="1" applyAlignment="1">
      <alignment horizontal="left" vertical="center"/>
    </xf>
    <xf numFmtId="0" fontId="40" fillId="0" borderId="4" xfId="0" applyFont="1" applyBorder="1" applyAlignment="1">
      <alignment vertical="center" wrapText="1"/>
    </xf>
    <xf numFmtId="2" fontId="40" fillId="14" borderId="0" xfId="0" applyNumberFormat="1" applyFont="1" applyFill="1" applyAlignment="1">
      <alignment horizontal="center" vertical="center"/>
    </xf>
    <xf numFmtId="0" fontId="62" fillId="0" borderId="0" xfId="0" applyFont="1" applyAlignment="1">
      <alignment horizontal="left" vertical="center" indent="1"/>
    </xf>
    <xf numFmtId="0" fontId="41" fillId="0" borderId="0" xfId="0" applyFont="1"/>
    <xf numFmtId="0" fontId="76" fillId="0" borderId="0" xfId="0" applyFont="1" applyAlignment="1">
      <alignment vertical="center"/>
    </xf>
    <xf numFmtId="0" fontId="94" fillId="0" borderId="0" xfId="0" applyFont="1" applyAlignment="1">
      <alignment horizontal="right"/>
    </xf>
    <xf numFmtId="0" fontId="93" fillId="0" borderId="0" xfId="0" applyFont="1"/>
    <xf numFmtId="0" fontId="40" fillId="0" borderId="3" xfId="0" applyFont="1" applyBorder="1" applyAlignment="1">
      <alignment horizontal="left"/>
    </xf>
    <xf numFmtId="0" fontId="40" fillId="0" borderId="3" xfId="0" applyFont="1" applyBorder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40" fillId="0" borderId="3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/>
    </xf>
    <xf numFmtId="0" fontId="9" fillId="0" borderId="0" xfId="0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left" vertical="center"/>
      <protection locked="0"/>
    </xf>
    <xf numFmtId="0" fontId="40" fillId="14" borderId="0" xfId="0" applyFont="1" applyFill="1" applyAlignment="1">
      <alignment horizontal="left" vertical="center"/>
    </xf>
    <xf numFmtId="164" fontId="43" fillId="0" borderId="0" xfId="0" applyNumberFormat="1" applyFont="1" applyAlignment="1">
      <alignment vertical="center"/>
    </xf>
    <xf numFmtId="0" fontId="43" fillId="0" borderId="0" xfId="0" applyFont="1" applyAlignment="1">
      <alignment vertical="center"/>
    </xf>
    <xf numFmtId="0" fontId="96" fillId="2" borderId="25" xfId="0" applyFont="1" applyFill="1" applyBorder="1" applyAlignment="1">
      <alignment horizontal="center"/>
    </xf>
    <xf numFmtId="0" fontId="6" fillId="2" borderId="104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11" borderId="118" xfId="0" applyFont="1" applyFill="1" applyBorder="1" applyAlignment="1">
      <alignment horizontal="center"/>
    </xf>
    <xf numFmtId="165" fontId="6" fillId="0" borderId="37" xfId="0" applyNumberFormat="1" applyFont="1" applyBorder="1"/>
    <xf numFmtId="165" fontId="6" fillId="0" borderId="119" xfId="0" applyNumberFormat="1" applyFont="1" applyBorder="1"/>
    <xf numFmtId="0" fontId="6" fillId="11" borderId="116" xfId="0" applyFont="1" applyFill="1" applyBorder="1" applyAlignment="1">
      <alignment horizontal="center"/>
    </xf>
    <xf numFmtId="165" fontId="6" fillId="0" borderId="86" xfId="0" applyNumberFormat="1" applyFont="1" applyBorder="1"/>
    <xf numFmtId="165" fontId="6" fillId="0" borderId="44" xfId="0" applyNumberFormat="1" applyFont="1" applyBorder="1"/>
    <xf numFmtId="0" fontId="6" fillId="11" borderId="117" xfId="0" applyFont="1" applyFill="1" applyBorder="1" applyAlignment="1">
      <alignment horizontal="center"/>
    </xf>
    <xf numFmtId="165" fontId="6" fillId="0" borderId="115" xfId="0" applyNumberFormat="1" applyFont="1" applyBorder="1"/>
    <xf numFmtId="165" fontId="6" fillId="0" borderId="52" xfId="0" applyNumberFormat="1" applyFont="1" applyBorder="1"/>
    <xf numFmtId="0" fontId="40" fillId="0" borderId="111" xfId="0" applyFont="1" applyBorder="1" applyAlignment="1">
      <alignment horizontal="center" vertical="center" wrapText="1"/>
    </xf>
    <xf numFmtId="0" fontId="62" fillId="0" borderId="0" xfId="0" applyFont="1" applyAlignment="1">
      <alignment vertical="center" wrapText="1"/>
    </xf>
    <xf numFmtId="0" fontId="40" fillId="0" borderId="0" xfId="0" applyFont="1" applyAlignment="1">
      <alignment vertical="center" wrapText="1"/>
    </xf>
    <xf numFmtId="0" fontId="83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left" vertical="center"/>
    </xf>
    <xf numFmtId="0" fontId="84" fillId="0" borderId="0" xfId="0" applyFont="1" applyAlignment="1">
      <alignment horizontal="left" vertical="center"/>
    </xf>
    <xf numFmtId="0" fontId="87" fillId="0" borderId="0" xfId="0" quotePrefix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right" vertical="center"/>
    </xf>
    <xf numFmtId="0" fontId="53" fillId="0" borderId="0" xfId="0" quotePrefix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2" fontId="53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/>
    </xf>
    <xf numFmtId="0" fontId="55" fillId="0" borderId="0" xfId="0" applyFont="1"/>
    <xf numFmtId="0" fontId="54" fillId="0" borderId="0" xfId="0" applyFont="1" applyAlignment="1">
      <alignment horizontal="right"/>
    </xf>
    <xf numFmtId="4" fontId="53" fillId="0" borderId="0" xfId="0" applyNumberFormat="1" applyFont="1" applyAlignment="1">
      <alignment horizontal="center" vertical="center"/>
    </xf>
    <xf numFmtId="4" fontId="48" fillId="0" borderId="0" xfId="0" applyNumberFormat="1" applyFont="1" applyAlignment="1">
      <alignment horizontal="center" vertical="center"/>
    </xf>
    <xf numFmtId="4" fontId="53" fillId="0" borderId="0" xfId="0" applyNumberFormat="1" applyFont="1" applyAlignment="1">
      <alignment horizontal="left" vertical="center"/>
    </xf>
    <xf numFmtId="4" fontId="53" fillId="0" borderId="0" xfId="0" quotePrefix="1" applyNumberFormat="1" applyFont="1" applyAlignment="1">
      <alignment horizontal="left" vertical="center"/>
    </xf>
    <xf numFmtId="3" fontId="53" fillId="0" borderId="0" xfId="0" applyNumberFormat="1" applyFont="1" applyAlignment="1">
      <alignment horizontal="center" vertical="center"/>
    </xf>
    <xf numFmtId="168" fontId="5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4" fontId="28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right" vertical="center"/>
      <protection locked="0"/>
    </xf>
    <xf numFmtId="2" fontId="40" fillId="0" borderId="0" xfId="0" applyNumberFormat="1" applyFont="1" applyAlignment="1">
      <alignment vertical="center" textRotation="90"/>
    </xf>
    <xf numFmtId="14" fontId="9" fillId="0" borderId="0" xfId="0" applyNumberFormat="1" applyFont="1" applyAlignment="1" applyProtection="1">
      <alignment vertical="center"/>
      <protection locked="0"/>
    </xf>
    <xf numFmtId="14" fontId="8" fillId="0" borderId="0" xfId="0" applyNumberFormat="1" applyFont="1" applyAlignment="1" applyProtection="1">
      <alignment vertical="center"/>
      <protection locked="0"/>
    </xf>
    <xf numFmtId="0" fontId="62" fillId="0" borderId="0" xfId="0" applyFont="1" applyAlignment="1">
      <alignment horizontal="right" vertical="center"/>
    </xf>
    <xf numFmtId="3" fontId="40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6" fillId="0" borderId="23" xfId="0" applyFont="1" applyBorder="1"/>
    <xf numFmtId="0" fontId="42" fillId="0" borderId="0" xfId="0" applyFont="1"/>
    <xf numFmtId="0" fontId="0" fillId="0" borderId="72" xfId="0" applyBorder="1" applyAlignment="1">
      <alignment vertical="center"/>
    </xf>
    <xf numFmtId="14" fontId="35" fillId="0" borderId="120" xfId="0" applyNumberFormat="1" applyFont="1" applyBorder="1" applyAlignment="1">
      <alignment vertical="center"/>
    </xf>
    <xf numFmtId="0" fontId="7" fillId="0" borderId="7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7" fillId="0" borderId="0" xfId="0" applyFont="1"/>
    <xf numFmtId="2" fontId="6" fillId="0" borderId="0" xfId="0" applyNumberFormat="1" applyFont="1" applyAlignment="1">
      <alignment horizontal="centerContinuous"/>
    </xf>
    <xf numFmtId="0" fontId="6" fillId="0" borderId="7" xfId="0" applyFont="1" applyBorder="1" applyAlignment="1">
      <alignment vertical="center"/>
    </xf>
    <xf numFmtId="0" fontId="6" fillId="0" borderId="107" xfId="0" applyFont="1" applyBorder="1" applyAlignment="1">
      <alignment vertical="center"/>
    </xf>
    <xf numFmtId="0" fontId="0" fillId="0" borderId="107" xfId="0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14" fontId="101" fillId="0" borderId="54" xfId="0" applyNumberFormat="1" applyFont="1" applyBorder="1" applyAlignment="1">
      <alignment vertical="center"/>
    </xf>
    <xf numFmtId="0" fontId="6" fillId="0" borderId="86" xfId="0" applyFont="1" applyBorder="1" applyAlignment="1">
      <alignment vertical="center"/>
    </xf>
    <xf numFmtId="14" fontId="35" fillId="0" borderId="54" xfId="0" applyNumberFormat="1" applyFont="1" applyBorder="1" applyAlignment="1">
      <alignment vertical="center"/>
    </xf>
    <xf numFmtId="0" fontId="35" fillId="0" borderId="121" xfId="0" applyFont="1" applyBorder="1" applyAlignment="1">
      <alignment vertical="center"/>
    </xf>
    <xf numFmtId="0" fontId="6" fillId="0" borderId="22" xfId="0" applyFont="1" applyBorder="1"/>
    <xf numFmtId="0" fontId="6" fillId="0" borderId="14" xfId="0" applyFont="1" applyBorder="1"/>
    <xf numFmtId="0" fontId="6" fillId="0" borderId="105" xfId="0" applyFont="1" applyBorder="1"/>
    <xf numFmtId="0" fontId="6" fillId="0" borderId="20" xfId="0" applyFont="1" applyBorder="1"/>
    <xf numFmtId="0" fontId="34" fillId="0" borderId="4" xfId="0" applyFont="1" applyBorder="1" applyAlignment="1">
      <alignment horizontal="center" vertical="center"/>
    </xf>
    <xf numFmtId="0" fontId="40" fillId="0" borderId="4" xfId="1" applyFont="1" applyBorder="1" applyAlignment="1">
      <alignment horizontal="center" vertical="center"/>
    </xf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6" fillId="0" borderId="24" xfId="0" applyFont="1" applyBorder="1"/>
    <xf numFmtId="2" fontId="52" fillId="0" borderId="88" xfId="0" applyNumberFormat="1" applyFont="1" applyBorder="1" applyAlignment="1">
      <alignment horizontal="center"/>
    </xf>
    <xf numFmtId="14" fontId="40" fillId="0" borderId="4" xfId="0" applyNumberFormat="1" applyFont="1" applyBorder="1" applyAlignment="1">
      <alignment horizontal="center" vertical="center"/>
    </xf>
    <xf numFmtId="49" fontId="35" fillId="0" borderId="0" xfId="0" applyNumberFormat="1" applyFont="1"/>
    <xf numFmtId="0" fontId="6" fillId="0" borderId="18" xfId="0" applyFont="1" applyBorder="1"/>
    <xf numFmtId="2" fontId="52" fillId="0" borderId="3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2" fontId="44" fillId="0" borderId="39" xfId="0" applyNumberFormat="1" applyFont="1" applyBorder="1" applyAlignment="1">
      <alignment horizontal="center"/>
    </xf>
    <xf numFmtId="1" fontId="6" fillId="0" borderId="0" xfId="0" applyNumberFormat="1" applyFont="1"/>
    <xf numFmtId="2" fontId="106" fillId="0" borderId="0" xfId="0" applyNumberFormat="1" applyFont="1"/>
    <xf numFmtId="0" fontId="8" fillId="0" borderId="22" xfId="0" applyFont="1" applyBorder="1"/>
    <xf numFmtId="0" fontId="8" fillId="0" borderId="14" xfId="0" applyFont="1" applyBorder="1"/>
    <xf numFmtId="0" fontId="8" fillId="0" borderId="21" xfId="0" applyFont="1" applyBorder="1"/>
    <xf numFmtId="0" fontId="10" fillId="0" borderId="0" xfId="0" applyFont="1"/>
    <xf numFmtId="1" fontId="35" fillId="0" borderId="39" xfId="0" applyNumberFormat="1" applyFont="1" applyBorder="1" applyAlignment="1">
      <alignment horizontal="center"/>
    </xf>
    <xf numFmtId="0" fontId="8" fillId="0" borderId="122" xfId="0" applyFont="1" applyBorder="1" applyAlignment="1">
      <alignment horizontal="left"/>
    </xf>
    <xf numFmtId="2" fontId="8" fillId="11" borderId="123" xfId="0" applyNumberFormat="1" applyFont="1" applyFill="1" applyBorder="1"/>
    <xf numFmtId="2" fontId="6" fillId="0" borderId="123" xfId="0" applyNumberFormat="1" applyFont="1" applyBorder="1"/>
    <xf numFmtId="2" fontId="35" fillId="0" borderId="123" xfId="0" applyNumberFormat="1" applyFont="1" applyBorder="1" applyAlignment="1">
      <alignment horizontal="right"/>
    </xf>
    <xf numFmtId="0" fontId="6" fillId="0" borderId="123" xfId="0" applyFont="1" applyBorder="1"/>
    <xf numFmtId="2" fontId="35" fillId="0" borderId="39" xfId="0" applyNumberFormat="1" applyFont="1" applyBorder="1" applyAlignment="1">
      <alignment horizontal="center"/>
    </xf>
    <xf numFmtId="0" fontId="35" fillId="0" borderId="0" xfId="0" applyFont="1"/>
    <xf numFmtId="0" fontId="8" fillId="0" borderId="116" xfId="0" applyFont="1" applyBorder="1" applyAlignment="1">
      <alignment horizontal="left"/>
    </xf>
    <xf numFmtId="2" fontId="8" fillId="11" borderId="1" xfId="0" applyNumberFormat="1" applyFont="1" applyFill="1" applyBorder="1"/>
    <xf numFmtId="2" fontId="6" fillId="0" borderId="1" xfId="0" applyNumberFormat="1" applyFont="1" applyBorder="1"/>
    <xf numFmtId="2" fontId="35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6" fillId="0" borderId="38" xfId="0" applyFont="1" applyBorder="1"/>
    <xf numFmtId="2" fontId="8" fillId="11" borderId="107" xfId="0" applyNumberFormat="1" applyFont="1" applyFill="1" applyBorder="1"/>
    <xf numFmtId="2" fontId="6" fillId="0" borderId="107" xfId="0" applyNumberFormat="1" applyFont="1" applyBorder="1"/>
    <xf numFmtId="2" fontId="7" fillId="0" borderId="107" xfId="0" applyNumberFormat="1" applyFont="1" applyBorder="1"/>
    <xf numFmtId="0" fontId="6" fillId="0" borderId="107" xfId="0" applyFont="1" applyBorder="1"/>
    <xf numFmtId="0" fontId="106" fillId="0" borderId="0" xfId="0" applyFont="1"/>
    <xf numFmtId="0" fontId="6" fillId="0" borderId="53" xfId="0" applyFont="1" applyBorder="1" applyAlignment="1">
      <alignment horizontal="center"/>
    </xf>
    <xf numFmtId="0" fontId="6" fillId="0" borderId="53" xfId="0" applyFont="1" applyBorder="1"/>
    <xf numFmtId="0" fontId="6" fillId="0" borderId="76" xfId="0" applyFont="1" applyBorder="1"/>
    <xf numFmtId="2" fontId="6" fillId="0" borderId="77" xfId="0" applyNumberFormat="1" applyFont="1" applyBorder="1" applyAlignment="1">
      <alignment horizontal="center"/>
    </xf>
    <xf numFmtId="0" fontId="8" fillId="0" borderId="116" xfId="0" applyFont="1" applyBorder="1"/>
    <xf numFmtId="0" fontId="0" fillId="0" borderId="0" xfId="0" applyAlignment="1">
      <alignment vertical="center"/>
    </xf>
    <xf numFmtId="2" fontId="35" fillId="11" borderId="107" xfId="0" applyNumberFormat="1" applyFont="1" applyFill="1" applyBorder="1"/>
    <xf numFmtId="0" fontId="6" fillId="0" borderId="83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96" fillId="0" borderId="19" xfId="0" applyFont="1" applyBorder="1" applyAlignment="1">
      <alignment horizontal="center" vertical="center" wrapText="1"/>
    </xf>
    <xf numFmtId="0" fontId="6" fillId="0" borderId="120" xfId="0" applyFont="1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/>
    </xf>
    <xf numFmtId="0" fontId="108" fillId="11" borderId="32" xfId="0" applyFont="1" applyFill="1" applyBorder="1" applyAlignment="1">
      <alignment horizontal="left" vertical="center" textRotation="90"/>
    </xf>
    <xf numFmtId="0" fontId="108" fillId="11" borderId="3" xfId="0" applyFont="1" applyFill="1" applyBorder="1" applyAlignment="1">
      <alignment horizontal="center"/>
    </xf>
    <xf numFmtId="0" fontId="108" fillId="11" borderId="33" xfId="0" applyFont="1" applyFill="1" applyBorder="1" applyAlignment="1">
      <alignment horizontal="right" vertical="center" textRotation="90"/>
    </xf>
    <xf numFmtId="1" fontId="6" fillId="4" borderId="86" xfId="0" applyNumberFormat="1" applyFont="1" applyFill="1" applyBorder="1" applyAlignment="1">
      <alignment horizontal="center"/>
    </xf>
    <xf numFmtId="0" fontId="6" fillId="4" borderId="10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2" fontId="6" fillId="4" borderId="4" xfId="0" quotePrefix="1" applyNumberFormat="1" applyFont="1" applyFill="1" applyBorder="1" applyAlignment="1">
      <alignment horizontal="center"/>
    </xf>
    <xf numFmtId="2" fontId="6" fillId="4" borderId="44" xfId="0" applyNumberFormat="1" applyFont="1" applyFill="1" applyBorder="1"/>
    <xf numFmtId="0" fontId="108" fillId="11" borderId="34" xfId="0" applyFont="1" applyFill="1" applyBorder="1" applyAlignment="1">
      <alignment horizontal="center" vertical="center"/>
    </xf>
    <xf numFmtId="0" fontId="108" fillId="11" borderId="0" xfId="0" applyFont="1" applyFill="1" applyAlignment="1">
      <alignment horizontal="center"/>
    </xf>
    <xf numFmtId="0" fontId="108" fillId="11" borderId="35" xfId="0" applyFont="1" applyFill="1" applyBorder="1" applyAlignment="1">
      <alignment horizontal="right" vertical="center" textRotation="90"/>
    </xf>
    <xf numFmtId="1" fontId="6" fillId="0" borderId="35" xfId="0" applyNumberFormat="1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2" fontId="6" fillId="0" borderId="106" xfId="0" applyNumberFormat="1" applyFont="1" applyBorder="1" applyAlignment="1">
      <alignment horizontal="center"/>
    </xf>
    <xf numFmtId="2" fontId="6" fillId="0" borderId="124" xfId="0" applyNumberFormat="1" applyFont="1" applyBorder="1"/>
    <xf numFmtId="2" fontId="96" fillId="0" borderId="107" xfId="0" applyNumberFormat="1" applyFont="1" applyBorder="1" applyAlignment="1">
      <alignment horizontal="center"/>
    </xf>
    <xf numFmtId="1" fontId="8" fillId="11" borderId="107" xfId="0" applyNumberFormat="1" applyFont="1" applyFill="1" applyBorder="1" applyAlignment="1">
      <alignment horizontal="right"/>
    </xf>
    <xf numFmtId="2" fontId="6" fillId="0" borderId="107" xfId="0" applyNumberFormat="1" applyFont="1" applyBorder="1" applyAlignment="1">
      <alignment horizontal="center"/>
    </xf>
    <xf numFmtId="0" fontId="8" fillId="11" borderId="107" xfId="0" applyFont="1" applyFill="1" applyBorder="1"/>
    <xf numFmtId="0" fontId="109" fillId="11" borderId="34" xfId="0" applyFont="1" applyFill="1" applyBorder="1" applyAlignment="1">
      <alignment horizontal="left" vertical="center" textRotation="90"/>
    </xf>
    <xf numFmtId="0" fontId="8" fillId="0" borderId="125" xfId="0" applyFont="1" applyBorder="1" applyAlignment="1">
      <alignment vertical="center"/>
    </xf>
    <xf numFmtId="2" fontId="96" fillId="0" borderId="3" xfId="0" applyNumberFormat="1" applyFont="1" applyBorder="1" applyAlignment="1">
      <alignment horizontal="center" vertical="center"/>
    </xf>
    <xf numFmtId="1" fontId="8" fillId="11" borderId="3" xfId="0" applyNumberFormat="1" applyFont="1" applyFill="1" applyBorder="1" applyAlignment="1">
      <alignment vertical="center"/>
    </xf>
    <xf numFmtId="2" fontId="6" fillId="0" borderId="3" xfId="0" applyNumberFormat="1" applyFont="1" applyBorder="1" applyAlignment="1">
      <alignment horizontal="center" vertical="center"/>
    </xf>
    <xf numFmtId="0" fontId="35" fillId="11" borderId="3" xfId="0" applyFont="1" applyFill="1" applyBorder="1" applyAlignment="1">
      <alignment vertical="center"/>
    </xf>
    <xf numFmtId="0" fontId="35" fillId="0" borderId="18" xfId="0" applyFont="1" applyBorder="1"/>
    <xf numFmtId="0" fontId="108" fillId="11" borderId="34" xfId="0" applyFont="1" applyFill="1" applyBorder="1" applyAlignment="1">
      <alignment horizontal="left" textRotation="90"/>
    </xf>
    <xf numFmtId="0" fontId="108" fillId="11" borderId="35" xfId="0" applyFont="1" applyFill="1" applyBorder="1" applyAlignment="1">
      <alignment textRotation="90"/>
    </xf>
    <xf numFmtId="2" fontId="7" fillId="0" borderId="107" xfId="0" applyNumberFormat="1" applyFont="1" applyBorder="1" applyAlignment="1">
      <alignment horizontal="center"/>
    </xf>
    <xf numFmtId="1" fontId="8" fillId="11" borderId="107" xfId="0" applyNumberFormat="1" applyFont="1" applyFill="1" applyBorder="1"/>
    <xf numFmtId="0" fontId="108" fillId="11" borderId="34" xfId="0" applyFont="1" applyFill="1" applyBorder="1" applyAlignment="1">
      <alignment horizontal="left" vertical="center" textRotation="90"/>
    </xf>
    <xf numFmtId="1" fontId="35" fillId="0" borderId="107" xfId="0" applyNumberFormat="1" applyFont="1" applyBorder="1" applyAlignment="1">
      <alignment horizontal="right"/>
    </xf>
    <xf numFmtId="1" fontId="7" fillId="0" borderId="107" xfId="0" applyNumberFormat="1" applyFont="1" applyBorder="1"/>
    <xf numFmtId="0" fontId="8" fillId="0" borderId="125" xfId="0" applyFont="1" applyBorder="1"/>
    <xf numFmtId="1" fontId="52" fillId="11" borderId="107" xfId="0" applyNumberFormat="1" applyFont="1" applyFill="1" applyBorder="1" applyAlignment="1">
      <alignment horizontal="right"/>
    </xf>
    <xf numFmtId="0" fontId="52" fillId="11" borderId="107" xfId="0" applyFont="1" applyFill="1" applyBorder="1"/>
    <xf numFmtId="1" fontId="40" fillId="0" borderId="27" xfId="0" applyNumberFormat="1" applyFont="1" applyBorder="1" applyAlignment="1">
      <alignment horizontal="center"/>
    </xf>
    <xf numFmtId="164" fontId="6" fillId="0" borderId="27" xfId="0" applyNumberFormat="1" applyFont="1" applyBorder="1" applyAlignment="1">
      <alignment horizontal="center" vertical="center" wrapText="1"/>
    </xf>
    <xf numFmtId="0" fontId="8" fillId="0" borderId="117" xfId="0" applyFont="1" applyBorder="1" applyAlignment="1">
      <alignment vertical="center" wrapText="1"/>
    </xf>
    <xf numFmtId="1" fontId="35" fillId="0" borderId="0" xfId="0" applyNumberFormat="1" applyFont="1"/>
    <xf numFmtId="0" fontId="35" fillId="0" borderId="76" xfId="0" applyFont="1" applyBorder="1"/>
    <xf numFmtId="0" fontId="17" fillId="0" borderId="18" xfId="0" applyFont="1" applyBorder="1"/>
    <xf numFmtId="2" fontId="6" fillId="0" borderId="72" xfId="0" applyNumberFormat="1" applyFont="1" applyBorder="1" applyAlignment="1">
      <alignment horizontal="right"/>
    </xf>
    <xf numFmtId="1" fontId="7" fillId="0" borderId="72" xfId="0" applyNumberFormat="1" applyFont="1" applyBorder="1" applyAlignment="1">
      <alignment horizontal="right"/>
    </xf>
    <xf numFmtId="0" fontId="7" fillId="0" borderId="72" xfId="0" applyFont="1" applyBorder="1"/>
    <xf numFmtId="1" fontId="6" fillId="4" borderId="107" xfId="0" applyNumberFormat="1" applyFont="1" applyFill="1" applyBorder="1" applyAlignment="1">
      <alignment horizontal="center"/>
    </xf>
    <xf numFmtId="2" fontId="6" fillId="4" borderId="4" xfId="0" applyNumberFormat="1" applyFont="1" applyFill="1" applyBorder="1" applyAlignment="1">
      <alignment horizontal="center"/>
    </xf>
    <xf numFmtId="0" fontId="8" fillId="0" borderId="18" xfId="0" applyFont="1" applyBorder="1"/>
    <xf numFmtId="1" fontId="7" fillId="0" borderId="0" xfId="0" applyNumberFormat="1" applyFont="1" applyAlignment="1">
      <alignment horizontal="right"/>
    </xf>
    <xf numFmtId="0" fontId="35" fillId="11" borderId="0" xfId="0" applyFont="1" applyFill="1" applyAlignment="1">
      <alignment horizontal="left"/>
    </xf>
    <xf numFmtId="0" fontId="108" fillId="11" borderId="34" xfId="0" applyFont="1" applyFill="1" applyBorder="1" applyAlignment="1">
      <alignment horizontal="center"/>
    </xf>
    <xf numFmtId="0" fontId="111" fillId="11" borderId="35" xfId="0" applyFont="1" applyFill="1" applyBorder="1" applyAlignment="1">
      <alignment horizontal="left" vertical="top"/>
    </xf>
    <xf numFmtId="0" fontId="35" fillId="0" borderId="0" xfId="0" applyFont="1" applyAlignment="1">
      <alignment horizontal="left"/>
    </xf>
    <xf numFmtId="0" fontId="109" fillId="11" borderId="34" xfId="0" applyFont="1" applyFill="1" applyBorder="1" applyAlignment="1">
      <alignment horizontal="left" textRotation="90"/>
    </xf>
    <xf numFmtId="1" fontId="108" fillId="11" borderId="0" xfId="0" applyNumberFormat="1" applyFont="1" applyFill="1" applyAlignment="1">
      <alignment horizontal="center"/>
    </xf>
    <xf numFmtId="0" fontId="109" fillId="11" borderId="35" xfId="0" applyFont="1" applyFill="1" applyBorder="1" applyAlignment="1">
      <alignment horizontal="left" vertical="top"/>
    </xf>
    <xf numFmtId="1" fontId="6" fillId="4" borderId="4" xfId="0" applyNumberFormat="1" applyFont="1" applyFill="1" applyBorder="1" applyAlignment="1">
      <alignment horizontal="center"/>
    </xf>
    <xf numFmtId="0" fontId="109" fillId="11" borderId="0" xfId="0" applyFont="1" applyFill="1" applyAlignment="1">
      <alignment horizontal="right" vertical="center"/>
    </xf>
    <xf numFmtId="0" fontId="40" fillId="11" borderId="35" xfId="0" applyFont="1" applyFill="1" applyBorder="1"/>
    <xf numFmtId="0" fontId="35" fillId="8" borderId="0" xfId="0" applyFont="1" applyFill="1" applyAlignment="1">
      <alignment horizontal="left"/>
    </xf>
    <xf numFmtId="1" fontId="108" fillId="11" borderId="34" xfId="0" applyNumberFormat="1" applyFont="1" applyFill="1" applyBorder="1" applyAlignment="1">
      <alignment horizontal="center"/>
    </xf>
    <xf numFmtId="1" fontId="108" fillId="11" borderId="0" xfId="0" applyNumberFormat="1" applyFont="1" applyFill="1" applyAlignment="1">
      <alignment horizontal="center" vertical="center"/>
    </xf>
    <xf numFmtId="1" fontId="108" fillId="11" borderId="35" xfId="0" applyNumberFormat="1" applyFont="1" applyFill="1" applyBorder="1" applyAlignment="1">
      <alignment horizontal="center"/>
    </xf>
    <xf numFmtId="1" fontId="44" fillId="0" borderId="0" xfId="0" applyNumberFormat="1" applyFont="1" applyAlignment="1">
      <alignment horizontal="center"/>
    </xf>
    <xf numFmtId="2" fontId="0" fillId="0" borderId="0" xfId="0" applyNumberFormat="1"/>
    <xf numFmtId="2" fontId="6" fillId="0" borderId="18" xfId="0" applyNumberFormat="1" applyFont="1" applyBorder="1"/>
    <xf numFmtId="0" fontId="108" fillId="11" borderId="34" xfId="0" applyFont="1" applyFill="1" applyBorder="1" applyAlignment="1">
      <alignment horizontal="right" vertical="center" textRotation="90"/>
    </xf>
    <xf numFmtId="0" fontId="6" fillId="0" borderId="106" xfId="0" applyFont="1" applyBorder="1"/>
    <xf numFmtId="2" fontId="6" fillId="0" borderId="53" xfId="0" applyNumberFormat="1" applyFont="1" applyBorder="1"/>
    <xf numFmtId="1" fontId="6" fillId="0" borderId="76" xfId="0" applyNumberFormat="1" applyFont="1" applyBorder="1"/>
    <xf numFmtId="1" fontId="35" fillId="11" borderId="76" xfId="0" applyNumberFormat="1" applyFont="1" applyFill="1" applyBorder="1" applyAlignment="1">
      <alignment horizontal="left"/>
    </xf>
    <xf numFmtId="0" fontId="35" fillId="11" borderId="76" xfId="0" applyFont="1" applyFill="1" applyBorder="1" applyAlignment="1">
      <alignment horizontal="left"/>
    </xf>
    <xf numFmtId="0" fontId="7" fillId="0" borderId="76" xfId="0" applyFont="1" applyBorder="1"/>
    <xf numFmtId="1" fontId="108" fillId="11" borderId="34" xfId="0" applyNumberFormat="1" applyFont="1" applyFill="1" applyBorder="1" applyAlignment="1">
      <alignment horizontal="right"/>
    </xf>
    <xf numFmtId="0" fontId="109" fillId="11" borderId="0" xfId="0" applyFont="1" applyFill="1" applyAlignment="1">
      <alignment horizontal="right"/>
    </xf>
    <xf numFmtId="0" fontId="108" fillId="11" borderId="35" xfId="0" applyFont="1" applyFill="1" applyBorder="1" applyAlignment="1">
      <alignment horizontal="left"/>
    </xf>
    <xf numFmtId="0" fontId="108" fillId="11" borderId="34" xfId="0" applyFont="1" applyFill="1" applyBorder="1" applyAlignment="1">
      <alignment horizontal="right"/>
    </xf>
    <xf numFmtId="1" fontId="108" fillId="11" borderId="0" xfId="0" applyNumberFormat="1" applyFont="1" applyFill="1" applyAlignment="1">
      <alignment horizontal="center" textRotation="30"/>
    </xf>
    <xf numFmtId="1" fontId="40" fillId="0" borderId="0" xfId="0" applyNumberFormat="1" applyFont="1"/>
    <xf numFmtId="0" fontId="110" fillId="0" borderId="0" xfId="0" applyFont="1" applyAlignment="1">
      <alignment horizontal="left"/>
    </xf>
    <xf numFmtId="0" fontId="108" fillId="11" borderId="34" xfId="0" applyFont="1" applyFill="1" applyBorder="1" applyAlignment="1">
      <alignment horizontal="right" vertical="center"/>
    </xf>
    <xf numFmtId="2" fontId="112" fillId="0" borderId="0" xfId="0" applyNumberFormat="1" applyFont="1" applyAlignment="1">
      <alignment horizontal="center"/>
    </xf>
    <xf numFmtId="1" fontId="106" fillId="0" borderId="0" xfId="0" applyNumberFormat="1" applyFont="1" applyAlignment="1">
      <alignment horizontal="right"/>
    </xf>
    <xf numFmtId="2" fontId="106" fillId="0" borderId="0" xfId="0" applyNumberFormat="1" applyFont="1" applyAlignment="1">
      <alignment horizontal="center"/>
    </xf>
    <xf numFmtId="0" fontId="7" fillId="0" borderId="18" xfId="0" applyFont="1" applyBorder="1" applyAlignment="1">
      <alignment horizontal="center"/>
    </xf>
    <xf numFmtId="0" fontId="109" fillId="11" borderId="34" xfId="0" applyFont="1" applyFill="1" applyBorder="1" applyAlignment="1">
      <alignment vertical="center" textRotation="90"/>
    </xf>
    <xf numFmtId="0" fontId="109" fillId="11" borderId="0" xfId="0" applyFont="1" applyFill="1" applyAlignment="1">
      <alignment horizontal="center" vertical="center"/>
    </xf>
    <xf numFmtId="1" fontId="7" fillId="0" borderId="35" xfId="0" applyNumberFormat="1" applyFont="1" applyBorder="1" applyAlignment="1">
      <alignment horizontal="center"/>
    </xf>
    <xf numFmtId="0" fontId="7" fillId="0" borderId="34" xfId="0" applyFont="1" applyBorder="1"/>
    <xf numFmtId="0" fontId="7" fillId="0" borderId="106" xfId="0" applyFont="1" applyBorder="1"/>
    <xf numFmtId="0" fontId="7" fillId="0" borderId="124" xfId="0" applyFont="1" applyBorder="1"/>
    <xf numFmtId="0" fontId="6" fillId="4" borderId="69" xfId="0" applyFont="1" applyFill="1" applyBorder="1" applyAlignment="1">
      <alignment horizontal="center"/>
    </xf>
    <xf numFmtId="0" fontId="40" fillId="11" borderId="36" xfId="0" applyFont="1" applyFill="1" applyBorder="1"/>
    <xf numFmtId="0" fontId="108" fillId="11" borderId="1" xfId="0" applyFont="1" applyFill="1" applyBorder="1" applyAlignment="1">
      <alignment horizontal="center" vertical="top"/>
    </xf>
    <xf numFmtId="0" fontId="40" fillId="11" borderId="37" xfId="0" applyFont="1" applyFill="1" applyBorder="1"/>
    <xf numFmtId="1" fontId="6" fillId="4" borderId="115" xfId="0" applyNumberFormat="1" applyFont="1" applyFill="1" applyBorder="1" applyAlignment="1">
      <alignment horizontal="center" vertical="center"/>
    </xf>
    <xf numFmtId="0" fontId="6" fillId="4" borderId="51" xfId="0" applyFont="1" applyFill="1" applyBorder="1" applyAlignment="1">
      <alignment horizontal="center" vertical="center"/>
    </xf>
    <xf numFmtId="2" fontId="6" fillId="4" borderId="51" xfId="0" applyNumberFormat="1" applyFont="1" applyFill="1" applyBorder="1" applyAlignment="1">
      <alignment horizontal="center"/>
    </xf>
    <xf numFmtId="2" fontId="6" fillId="4" borderId="52" xfId="0" applyNumberFormat="1" applyFont="1" applyFill="1" applyBorder="1"/>
    <xf numFmtId="0" fontId="35" fillId="11" borderId="0" xfId="0" applyFont="1" applyFill="1"/>
    <xf numFmtId="0" fontId="96" fillId="0" borderId="122" xfId="0" applyFont="1" applyBorder="1" applyAlignment="1">
      <alignment horizontal="center"/>
    </xf>
    <xf numFmtId="0" fontId="35" fillId="0" borderId="42" xfId="0" applyFont="1" applyBorder="1" applyAlignment="1">
      <alignment horizontal="center"/>
    </xf>
    <xf numFmtId="1" fontId="35" fillId="0" borderId="9" xfId="0" applyNumberFormat="1" applyFont="1" applyBorder="1" applyAlignment="1">
      <alignment horizontal="center"/>
    </xf>
    <xf numFmtId="0" fontId="35" fillId="0" borderId="41" xfId="0" applyFont="1" applyBorder="1" applyAlignment="1">
      <alignment horizontal="center"/>
    </xf>
    <xf numFmtId="0" fontId="6" fillId="0" borderId="118" xfId="0" applyFont="1" applyBorder="1"/>
    <xf numFmtId="2" fontId="6" fillId="0" borderId="126" xfId="0" applyNumberFormat="1" applyFont="1" applyBorder="1"/>
    <xf numFmtId="2" fontId="6" fillId="0" borderId="36" xfId="0" applyNumberFormat="1" applyFont="1" applyBorder="1"/>
    <xf numFmtId="2" fontId="6" fillId="0" borderId="119" xfId="0" applyNumberFormat="1" applyFont="1" applyBorder="1" applyAlignment="1">
      <alignment horizontal="center"/>
    </xf>
    <xf numFmtId="0" fontId="6" fillId="0" borderId="117" xfId="0" applyFont="1" applyBorder="1"/>
    <xf numFmtId="2" fontId="6" fillId="0" borderId="69" xfId="0" applyNumberFormat="1" applyFont="1" applyBorder="1"/>
    <xf numFmtId="2" fontId="6" fillId="0" borderId="127" xfId="0" applyNumberFormat="1" applyFont="1" applyBorder="1"/>
    <xf numFmtId="2" fontId="6" fillId="0" borderId="127" xfId="0" applyNumberFormat="1" applyFont="1" applyBorder="1" applyAlignment="1">
      <alignment horizontal="center"/>
    </xf>
    <xf numFmtId="2" fontId="6" fillId="0" borderId="52" xfId="0" applyNumberFormat="1" applyFont="1" applyBorder="1" applyAlignment="1">
      <alignment horizontal="center"/>
    </xf>
    <xf numFmtId="0" fontId="113" fillId="2" borderId="0" xfId="0" applyFont="1" applyFill="1"/>
    <xf numFmtId="2" fontId="6" fillId="2" borderId="0" xfId="0" applyNumberFormat="1" applyFont="1" applyFill="1"/>
    <xf numFmtId="0" fontId="114" fillId="2" borderId="0" xfId="0" applyFont="1" applyFill="1"/>
    <xf numFmtId="2" fontId="6" fillId="2" borderId="0" xfId="0" applyNumberFormat="1" applyFont="1" applyFill="1" applyAlignment="1">
      <alignment horizontal="center"/>
    </xf>
    <xf numFmtId="2" fontId="6" fillId="2" borderId="0" xfId="0" applyNumberFormat="1" applyFont="1" applyFill="1" applyAlignment="1">
      <alignment horizontal="right"/>
    </xf>
    <xf numFmtId="1" fontId="6" fillId="2" borderId="0" xfId="0" applyNumberFormat="1" applyFont="1" applyFill="1" applyAlignment="1">
      <alignment horizontal="right"/>
    </xf>
    <xf numFmtId="1" fontId="6" fillId="2" borderId="0" xfId="0" applyNumberFormat="1" applyFont="1" applyFill="1"/>
    <xf numFmtId="0" fontId="35" fillId="2" borderId="0" xfId="0" applyFont="1" applyFill="1" applyAlignment="1">
      <alignment horizontal="left"/>
    </xf>
    <xf numFmtId="0" fontId="0" fillId="2" borderId="0" xfId="0" applyFill="1"/>
    <xf numFmtId="1" fontId="6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2" borderId="0" xfId="0" applyFont="1" applyFill="1"/>
    <xf numFmtId="1" fontId="7" fillId="2" borderId="0" xfId="0" applyNumberFormat="1" applyFont="1" applyFill="1"/>
    <xf numFmtId="0" fontId="6" fillId="2" borderId="0" xfId="0" applyFont="1" applyFill="1" applyAlignment="1">
      <alignment horizontal="left" textRotation="15"/>
    </xf>
    <xf numFmtId="2" fontId="6" fillId="2" borderId="4" xfId="0" applyNumberFormat="1" applyFont="1" applyFill="1" applyBorder="1"/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52" fillId="2" borderId="0" xfId="0" applyFont="1" applyFill="1" applyAlignment="1">
      <alignment horizontal="left"/>
    </xf>
    <xf numFmtId="1" fontId="8" fillId="2" borderId="0" xfId="0" applyNumberFormat="1" applyFont="1" applyFill="1"/>
    <xf numFmtId="0" fontId="6" fillId="2" borderId="54" xfId="0" applyFont="1" applyFill="1" applyBorder="1"/>
    <xf numFmtId="0" fontId="6" fillId="2" borderId="86" xfId="0" applyFont="1" applyFill="1" applyBorder="1"/>
    <xf numFmtId="0" fontId="8" fillId="8" borderId="4" xfId="0" applyFont="1" applyFill="1" applyBorder="1"/>
    <xf numFmtId="0" fontId="8" fillId="8" borderId="4" xfId="0" applyFont="1" applyFill="1" applyBorder="1" applyAlignment="1">
      <alignment horizontal="center"/>
    </xf>
    <xf numFmtId="0" fontId="8" fillId="8" borderId="89" xfId="0" applyFont="1" applyFill="1" applyBorder="1" applyAlignment="1">
      <alignment horizontal="center"/>
    </xf>
    <xf numFmtId="0" fontId="8" fillId="8" borderId="89" xfId="0" applyFont="1" applyFill="1" applyBorder="1"/>
    <xf numFmtId="0" fontId="6" fillId="8" borderId="4" xfId="0" applyFont="1" applyFill="1" applyBorder="1"/>
    <xf numFmtId="0" fontId="0" fillId="8" borderId="4" xfId="0" applyFill="1" applyBorder="1"/>
    <xf numFmtId="0" fontId="8" fillId="8" borderId="55" xfId="0" applyFont="1" applyFill="1" applyBorder="1"/>
    <xf numFmtId="0" fontId="8" fillId="8" borderId="55" xfId="0" applyFont="1" applyFill="1" applyBorder="1" applyAlignment="1">
      <alignment horizontal="center"/>
    </xf>
    <xf numFmtId="0" fontId="0" fillId="8" borderId="55" xfId="0" applyFill="1" applyBorder="1"/>
    <xf numFmtId="0" fontId="0" fillId="8" borderId="55" xfId="0" applyFill="1" applyBorder="1" applyAlignment="1">
      <alignment horizontal="center"/>
    </xf>
    <xf numFmtId="1" fontId="6" fillId="2" borderId="4" xfId="0" applyNumberFormat="1" applyFont="1" applyFill="1" applyBorder="1"/>
    <xf numFmtId="0" fontId="6" fillId="2" borderId="4" xfId="0" applyFont="1" applyFill="1" applyBorder="1" applyAlignment="1">
      <alignment horizontal="center"/>
    </xf>
    <xf numFmtId="0" fontId="6" fillId="2" borderId="86" xfId="0" applyFont="1" applyFill="1" applyBorder="1" applyAlignment="1">
      <alignment horizontal="center"/>
    </xf>
    <xf numFmtId="2" fontId="6" fillId="2" borderId="86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0" fontId="0" fillId="8" borderId="106" xfId="0" applyFill="1" applyBorder="1"/>
    <xf numFmtId="0" fontId="0" fillId="8" borderId="89" xfId="0" applyFill="1" applyBorder="1"/>
    <xf numFmtId="0" fontId="0" fillId="8" borderId="89" xfId="0" applyFill="1" applyBorder="1" applyAlignment="1">
      <alignment horizontal="center"/>
    </xf>
    <xf numFmtId="2" fontId="8" fillId="2" borderId="4" xfId="0" applyNumberFormat="1" applyFont="1" applyFill="1" applyBorder="1"/>
    <xf numFmtId="1" fontId="7" fillId="2" borderId="4" xfId="0" applyNumberFormat="1" applyFont="1" applyFill="1" applyBorder="1"/>
    <xf numFmtId="1" fontId="6" fillId="0" borderId="4" xfId="0" applyNumberFormat="1" applyFont="1" applyBorder="1"/>
    <xf numFmtId="1" fontId="6" fillId="0" borderId="4" xfId="0" applyNumberFormat="1" applyFont="1" applyBorder="1" applyAlignment="1">
      <alignment horizontal="center"/>
    </xf>
    <xf numFmtId="1" fontId="6" fillId="0" borderId="86" xfId="0" applyNumberFormat="1" applyFont="1" applyBorder="1" applyAlignment="1">
      <alignment horizontal="center"/>
    </xf>
    <xf numFmtId="2" fontId="6" fillId="0" borderId="86" xfId="0" applyNumberFormat="1" applyFont="1" applyBorder="1" applyAlignment="1">
      <alignment horizontal="center"/>
    </xf>
    <xf numFmtId="2" fontId="8" fillId="8" borderId="4" xfId="0" applyNumberFormat="1" applyFont="1" applyFill="1" applyBorder="1"/>
    <xf numFmtId="1" fontId="6" fillId="0" borderId="0" xfId="0" applyNumberFormat="1" applyFont="1" applyAlignment="1">
      <alignment horizontal="center"/>
    </xf>
    <xf numFmtId="0" fontId="110" fillId="0" borderId="0" xfId="0" applyFont="1" applyAlignment="1">
      <alignment horizontal="left" vertical="center"/>
    </xf>
    <xf numFmtId="0" fontId="100" fillId="0" borderId="24" xfId="0" applyFont="1" applyBorder="1" applyAlignment="1">
      <alignment horizontal="center" vertical="center"/>
    </xf>
    <xf numFmtId="0" fontId="100" fillId="0" borderId="72" xfId="0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/>
    </xf>
    <xf numFmtId="0" fontId="42" fillId="0" borderId="107" xfId="0" applyFont="1" applyBorder="1" applyAlignment="1">
      <alignment horizontal="center" vertical="center"/>
    </xf>
    <xf numFmtId="0" fontId="42" fillId="0" borderId="8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/>
    </xf>
    <xf numFmtId="0" fontId="40" fillId="12" borderId="33" xfId="0" applyFont="1" applyFill="1" applyBorder="1" applyAlignment="1">
      <alignment horizontal="center" vertical="center" wrapText="1"/>
    </xf>
    <xf numFmtId="0" fontId="40" fillId="12" borderId="37" xfId="0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right"/>
    </xf>
    <xf numFmtId="0" fontId="8" fillId="0" borderId="22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40" fillId="0" borderId="0" xfId="0" applyFont="1" applyAlignment="1">
      <alignment horizontal="center"/>
    </xf>
    <xf numFmtId="2" fontId="110" fillId="0" borderId="0" xfId="0" applyNumberFormat="1" applyFont="1" applyAlignment="1">
      <alignment horizontal="center" vertical="center" textRotation="90"/>
    </xf>
    <xf numFmtId="0" fontId="110" fillId="0" borderId="0" xfId="0" applyFont="1" applyAlignment="1">
      <alignment horizontal="center" vertical="center" textRotation="90"/>
    </xf>
    <xf numFmtId="2" fontId="40" fillId="0" borderId="0" xfId="0" applyNumberFormat="1" applyFont="1" applyAlignment="1">
      <alignment horizontal="center" vertical="center" textRotation="90"/>
    </xf>
    <xf numFmtId="0" fontId="40" fillId="0" borderId="0" xfId="0" applyFont="1" applyAlignment="1">
      <alignment horizontal="center" vertical="center" textRotation="90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6" fillId="2" borderId="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2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0" fillId="8" borderId="55" xfId="0" applyFill="1" applyBorder="1" applyAlignment="1">
      <alignment horizontal="center"/>
    </xf>
    <xf numFmtId="0" fontId="0" fillId="8" borderId="106" xfId="0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2" fontId="6" fillId="2" borderId="54" xfId="0" applyNumberFormat="1" applyFont="1" applyFill="1" applyBorder="1" applyAlignment="1">
      <alignment horizontal="center"/>
    </xf>
    <xf numFmtId="2" fontId="6" fillId="2" borderId="86" xfId="0" applyNumberFormat="1" applyFont="1" applyFill="1" applyBorder="1" applyAlignment="1">
      <alignment horizontal="center"/>
    </xf>
    <xf numFmtId="0" fontId="42" fillId="8" borderId="4" xfId="0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6" fillId="0" borderId="86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8" fillId="8" borderId="4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9" fillId="4" borderId="64" xfId="0" applyFont="1" applyFill="1" applyBorder="1" applyAlignment="1">
      <alignment horizontal="center" vertical="center"/>
    </xf>
    <xf numFmtId="0" fontId="9" fillId="4" borderId="81" xfId="0" applyFont="1" applyFill="1" applyBorder="1" applyAlignment="1">
      <alignment horizontal="center" vertical="center"/>
    </xf>
    <xf numFmtId="0" fontId="9" fillId="4" borderId="80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8" fillId="0" borderId="78" xfId="0" applyFont="1" applyBorder="1" applyAlignment="1">
      <alignment horizontal="left" vertical="center"/>
    </xf>
    <xf numFmtId="0" fontId="8" fillId="0" borderId="103" xfId="0" applyFont="1" applyBorder="1" applyAlignment="1">
      <alignment horizontal="left" vertical="center"/>
    </xf>
    <xf numFmtId="0" fontId="6" fillId="0" borderId="2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04" xfId="0" applyFont="1" applyBorder="1" applyAlignment="1">
      <alignment horizontal="center"/>
    </xf>
    <xf numFmtId="0" fontId="6" fillId="0" borderId="105" xfId="0" applyFont="1" applyBorder="1" applyAlignment="1">
      <alignment horizontal="center"/>
    </xf>
    <xf numFmtId="0" fontId="6" fillId="8" borderId="105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6" fillId="13" borderId="14" xfId="0" applyFont="1" applyFill="1" applyBorder="1" applyAlignment="1">
      <alignment horizontal="center"/>
    </xf>
    <xf numFmtId="0" fontId="6" fillId="13" borderId="2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9" fillId="11" borderId="64" xfId="0" applyFont="1" applyFill="1" applyBorder="1" applyAlignment="1">
      <alignment horizontal="center" vertical="center"/>
    </xf>
    <xf numFmtId="0" fontId="9" fillId="11" borderId="81" xfId="0" applyFont="1" applyFill="1" applyBorder="1" applyAlignment="1">
      <alignment horizontal="center" vertical="center"/>
    </xf>
    <xf numFmtId="0" fontId="9" fillId="11" borderId="80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19" fillId="0" borderId="78" xfId="0" applyFont="1" applyBorder="1" applyAlignment="1">
      <alignment horizontal="left" vertical="center"/>
    </xf>
    <xf numFmtId="0" fontId="19" fillId="0" borderId="103" xfId="0" applyFont="1" applyBorder="1" applyAlignment="1">
      <alignment horizontal="left" vertical="center"/>
    </xf>
    <xf numFmtId="0" fontId="19" fillId="0" borderId="14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164" fontId="43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0" fillId="0" borderId="55" xfId="0" applyFont="1" applyBorder="1" applyAlignment="1">
      <alignment horizontal="center" vertical="center" wrapText="1"/>
    </xf>
    <xf numFmtId="0" fontId="40" fillId="0" borderId="106" xfId="0" applyFont="1" applyBorder="1" applyAlignment="1">
      <alignment horizontal="center" vertical="center" wrapText="1"/>
    </xf>
    <xf numFmtId="0" fontId="40" fillId="0" borderId="89" xfId="0" applyFont="1" applyBorder="1" applyAlignment="1">
      <alignment horizontal="center" vertical="center" wrapText="1"/>
    </xf>
    <xf numFmtId="14" fontId="7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89" xfId="0" applyFont="1" applyBorder="1" applyAlignment="1">
      <alignment horizontal="center" vertical="center"/>
    </xf>
    <xf numFmtId="0" fontId="62" fillId="0" borderId="54" xfId="0" applyFont="1" applyBorder="1" applyAlignment="1">
      <alignment horizontal="center" vertical="center" wrapText="1"/>
    </xf>
    <xf numFmtId="0" fontId="62" fillId="0" borderId="8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53" fillId="0" borderId="54" xfId="0" applyFont="1" applyBorder="1" applyAlignment="1">
      <alignment horizontal="center" vertical="center"/>
    </xf>
    <xf numFmtId="0" fontId="53" fillId="0" borderId="107" xfId="0" applyFont="1" applyBorder="1" applyAlignment="1">
      <alignment horizontal="center" vertical="center"/>
    </xf>
    <xf numFmtId="0" fontId="53" fillId="0" borderId="8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0" fontId="40" fillId="0" borderId="89" xfId="0" applyFont="1" applyBorder="1" applyAlignment="1">
      <alignment horizontal="center" vertical="center"/>
    </xf>
    <xf numFmtId="169" fontId="4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65" fontId="81" fillId="0" borderId="3" xfId="0" applyNumberFormat="1" applyFont="1" applyBorder="1" applyAlignment="1">
      <alignment horizontal="center"/>
    </xf>
    <xf numFmtId="0" fontId="40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4" fontId="40" fillId="0" borderId="0" xfId="0" applyNumberFormat="1" applyFont="1" applyAlignment="1">
      <alignment horizontal="center" vertical="center"/>
    </xf>
    <xf numFmtId="170" fontId="4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textRotation="90"/>
    </xf>
    <xf numFmtId="0" fontId="6" fillId="6" borderId="0" xfId="0" applyFont="1" applyFill="1" applyAlignment="1">
      <alignment horizontal="center" vertical="center"/>
    </xf>
    <xf numFmtId="4" fontId="6" fillId="6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4" fontId="6" fillId="0" borderId="0" xfId="0" applyNumberFormat="1" applyFont="1" applyAlignment="1">
      <alignment horizontal="center"/>
    </xf>
    <xf numFmtId="4" fontId="6" fillId="6" borderId="3" xfId="0" applyNumberFormat="1" applyFont="1" applyFill="1" applyBorder="1" applyAlignment="1">
      <alignment horizontal="center"/>
    </xf>
    <xf numFmtId="0" fontId="6" fillId="0" borderId="0" xfId="0" applyFont="1" applyAlignment="1">
      <alignment horizontal="right" vertical="center" textRotation="90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" fontId="6" fillId="3" borderId="108" xfId="0" applyNumberFormat="1" applyFont="1" applyFill="1" applyBorder="1" applyAlignment="1">
      <alignment horizontal="center" vertical="center"/>
    </xf>
    <xf numFmtId="4" fontId="6" fillId="3" borderId="98" xfId="0" applyNumberFormat="1" applyFont="1" applyFill="1" applyBorder="1" applyAlignment="1">
      <alignment horizontal="center" vertical="center"/>
    </xf>
    <xf numFmtId="0" fontId="31" fillId="0" borderId="109" xfId="0" applyFont="1" applyBorder="1" applyAlignment="1">
      <alignment horizontal="center"/>
    </xf>
    <xf numFmtId="0" fontId="31" fillId="0" borderId="13" xfId="0" applyFont="1" applyBorder="1" applyAlignment="1">
      <alignment horizontal="center"/>
    </xf>
    <xf numFmtId="0" fontId="31" fillId="0" borderId="91" xfId="0" applyFont="1" applyBorder="1" applyAlignment="1">
      <alignment horizontal="center"/>
    </xf>
    <xf numFmtId="0" fontId="19" fillId="0" borderId="8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4" xfId="0" applyFont="1" applyBorder="1" applyAlignment="1">
      <alignment horizontal="center"/>
    </xf>
    <xf numFmtId="0" fontId="1" fillId="0" borderId="105" xfId="0" applyFont="1" applyBorder="1" applyAlignment="1">
      <alignment horizontal="center"/>
    </xf>
    <xf numFmtId="0" fontId="1" fillId="8" borderId="105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" fontId="40" fillId="6" borderId="3" xfId="0" applyNumberFormat="1" applyFont="1" applyFill="1" applyBorder="1" applyAlignment="1">
      <alignment horizontal="center" vertical="center"/>
    </xf>
    <xf numFmtId="4" fontId="40" fillId="0" borderId="0" xfId="0" applyNumberFormat="1" applyFont="1" applyAlignment="1">
      <alignment horizontal="center"/>
    </xf>
    <xf numFmtId="0" fontId="6" fillId="0" borderId="54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0" fontId="40" fillId="0" borderId="0" xfId="0" applyFont="1" applyAlignment="1">
      <alignment horizontal="right" vertical="center" wrapText="1"/>
    </xf>
    <xf numFmtId="2" fontId="40" fillId="0" borderId="0" xfId="0" applyNumberFormat="1" applyFont="1" applyAlignment="1">
      <alignment horizontal="left" vertical="center" textRotation="90"/>
    </xf>
    <xf numFmtId="0" fontId="40" fillId="0" borderId="0" xfId="0" applyFont="1" applyAlignment="1">
      <alignment horizontal="right" vertical="center"/>
    </xf>
    <xf numFmtId="0" fontId="6" fillId="0" borderId="46" xfId="0" applyFont="1" applyBorder="1" applyAlignment="1">
      <alignment horizontal="center" vertical="center" wrapText="1"/>
    </xf>
    <xf numFmtId="0" fontId="6" fillId="0" borderId="106" xfId="0" applyFont="1" applyBorder="1" applyAlignment="1">
      <alignment horizontal="center" vertical="center" wrapText="1"/>
    </xf>
    <xf numFmtId="0" fontId="6" fillId="0" borderId="89" xfId="0" applyFont="1" applyBorder="1" applyAlignment="1">
      <alignment horizontal="center" vertical="center" wrapText="1"/>
    </xf>
    <xf numFmtId="0" fontId="40" fillId="0" borderId="0" xfId="0" applyFont="1" applyAlignment="1">
      <alignment horizontal="right" vertical="center" textRotation="90"/>
    </xf>
    <xf numFmtId="0" fontId="1" fillId="13" borderId="14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9" fillId="0" borderId="78" xfId="0" applyFont="1" applyBorder="1" applyAlignment="1">
      <alignment horizontal="center" vertical="center"/>
    </xf>
    <xf numFmtId="0" fontId="19" fillId="0" borderId="103" xfId="0" applyFont="1" applyBorder="1" applyAlignment="1">
      <alignment horizontal="center" vertical="center"/>
    </xf>
    <xf numFmtId="0" fontId="31" fillId="0" borderId="109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04" xfId="0" applyFont="1" applyBorder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1" fillId="8" borderId="105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center" vertical="center"/>
    </xf>
    <xf numFmtId="4" fontId="40" fillId="6" borderId="1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left" vertical="center" wrapText="1"/>
    </xf>
    <xf numFmtId="0" fontId="73" fillId="0" borderId="0" xfId="0" applyFont="1" applyAlignment="1">
      <alignment horizontal="left" vertical="center"/>
    </xf>
    <xf numFmtId="0" fontId="44" fillId="15" borderId="0" xfId="0" applyFont="1" applyFill="1" applyAlignment="1">
      <alignment horizontal="center" vertical="center"/>
    </xf>
    <xf numFmtId="4" fontId="6" fillId="0" borderId="60" xfId="0" applyNumberFormat="1" applyFont="1" applyBorder="1" applyAlignment="1">
      <alignment horizontal="center" vertical="center"/>
    </xf>
    <xf numFmtId="4" fontId="6" fillId="0" borderId="110" xfId="0" applyNumberFormat="1" applyFont="1" applyBorder="1" applyAlignment="1">
      <alignment horizontal="center" vertical="center"/>
    </xf>
    <xf numFmtId="4" fontId="6" fillId="0" borderId="114" xfId="0" applyNumberFormat="1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right" vertical="center"/>
      <protection locked="0"/>
    </xf>
    <xf numFmtId="14" fontId="36" fillId="0" borderId="0" xfId="0" applyNumberFormat="1" applyFont="1" applyAlignment="1" applyProtection="1">
      <alignment horizontal="left" vertical="center"/>
      <protection locked="0"/>
    </xf>
    <xf numFmtId="0" fontId="40" fillId="0" borderId="32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/>
    </xf>
    <xf numFmtId="0" fontId="40" fillId="0" borderId="36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37" xfId="0" applyFont="1" applyBorder="1" applyAlignment="1">
      <alignment horizontal="center" vertical="center"/>
    </xf>
    <xf numFmtId="0" fontId="40" fillId="0" borderId="106" xfId="0" applyFont="1" applyBorder="1" applyAlignment="1">
      <alignment horizontal="center" vertical="center"/>
    </xf>
    <xf numFmtId="0" fontId="6" fillId="12" borderId="0" xfId="0" applyFont="1" applyFill="1" applyAlignment="1">
      <alignment horizontal="center" textRotation="90"/>
    </xf>
    <xf numFmtId="3" fontId="6" fillId="12" borderId="3" xfId="0" applyNumberFormat="1" applyFont="1" applyFill="1" applyBorder="1" applyAlignment="1">
      <alignment horizontal="left" vertical="center" textRotation="46"/>
    </xf>
    <xf numFmtId="0" fontId="6" fillId="12" borderId="0" xfId="0" applyFont="1" applyFill="1" applyAlignment="1">
      <alignment horizontal="center"/>
    </xf>
    <xf numFmtId="0" fontId="40" fillId="12" borderId="86" xfId="0" applyFont="1" applyFill="1" applyBorder="1" applyAlignment="1">
      <alignment vertical="center"/>
    </xf>
    <xf numFmtId="4" fontId="40" fillId="0" borderId="55" xfId="0" applyNumberFormat="1" applyFont="1" applyBorder="1" applyAlignment="1">
      <alignment horizontal="center" vertical="center"/>
    </xf>
    <xf numFmtId="4" fontId="40" fillId="0" borderId="89" xfId="0" applyNumberFormat="1" applyFont="1" applyBorder="1" applyAlignment="1">
      <alignment horizontal="center" vertical="center"/>
    </xf>
    <xf numFmtId="1" fontId="40" fillId="0" borderId="55" xfId="0" applyNumberFormat="1" applyFont="1" applyBorder="1" applyAlignment="1">
      <alignment horizontal="center" vertical="center"/>
    </xf>
    <xf numFmtId="1" fontId="40" fillId="0" borderId="106" xfId="0" applyNumberFormat="1" applyFont="1" applyBorder="1" applyAlignment="1">
      <alignment horizontal="center" vertical="center"/>
    </xf>
    <xf numFmtId="1" fontId="40" fillId="0" borderId="89" xfId="0" applyNumberFormat="1" applyFont="1" applyBorder="1" applyAlignment="1">
      <alignment horizontal="center" vertical="center"/>
    </xf>
    <xf numFmtId="43" fontId="40" fillId="0" borderId="4" xfId="0" applyNumberFormat="1" applyFont="1" applyBorder="1" applyAlignment="1">
      <alignment horizontal="center" vertical="center"/>
    </xf>
    <xf numFmtId="1" fontId="6" fillId="12" borderId="3" xfId="0" applyNumberFormat="1" applyFont="1" applyFill="1" applyBorder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0" fontId="40" fillId="12" borderId="32" xfId="0" applyFont="1" applyFill="1" applyBorder="1" applyAlignment="1">
      <alignment horizontal="right" vertical="center"/>
    </xf>
    <xf numFmtId="0" fontId="40" fillId="12" borderId="36" xfId="0" applyFont="1" applyFill="1" applyBorder="1" applyAlignment="1">
      <alignment horizontal="right" vertical="center"/>
    </xf>
    <xf numFmtId="0" fontId="40" fillId="12" borderId="33" xfId="0" applyFont="1" applyFill="1" applyBorder="1" applyAlignment="1">
      <alignment horizontal="left" vertical="center"/>
    </xf>
    <xf numFmtId="0" fontId="40" fillId="12" borderId="37" xfId="0" applyFont="1" applyFill="1" applyBorder="1" applyAlignment="1">
      <alignment horizontal="left" vertical="center"/>
    </xf>
    <xf numFmtId="0" fontId="40" fillId="12" borderId="34" xfId="0" applyFont="1" applyFill="1" applyBorder="1" applyAlignment="1">
      <alignment horizontal="right" vertical="center"/>
    </xf>
    <xf numFmtId="0" fontId="40" fillId="12" borderId="35" xfId="0" applyFont="1" applyFill="1" applyBorder="1" applyAlignment="1">
      <alignment horizontal="left" vertical="center"/>
    </xf>
    <xf numFmtId="1" fontId="40" fillId="0" borderId="4" xfId="0" applyNumberFormat="1" applyFont="1" applyBorder="1" applyAlignment="1">
      <alignment horizontal="center" vertical="center"/>
    </xf>
    <xf numFmtId="4" fontId="40" fillId="0" borderId="106" xfId="0" applyNumberFormat="1" applyFont="1" applyBorder="1" applyAlignment="1">
      <alignment horizontal="center" vertical="center"/>
    </xf>
    <xf numFmtId="0" fontId="40" fillId="12" borderId="54" xfId="0" applyFont="1" applyFill="1" applyBorder="1" applyAlignment="1">
      <alignment horizontal="right" vertical="center"/>
    </xf>
    <xf numFmtId="43" fontId="40" fillId="0" borderId="55" xfId="0" applyNumberFormat="1" applyFont="1" applyBorder="1" applyAlignment="1">
      <alignment horizontal="center" vertical="center"/>
    </xf>
    <xf numFmtId="43" fontId="40" fillId="0" borderId="106" xfId="0" applyNumberFormat="1" applyFont="1" applyBorder="1" applyAlignment="1">
      <alignment horizontal="center" vertical="center"/>
    </xf>
    <xf numFmtId="43" fontId="40" fillId="0" borderId="89" xfId="0" applyNumberFormat="1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0" fillId="0" borderId="107" xfId="0" applyFont="1" applyBorder="1" applyAlignment="1">
      <alignment horizontal="center" vertical="center"/>
    </xf>
    <xf numFmtId="0" fontId="40" fillId="0" borderId="8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 wrapText="1"/>
    </xf>
    <xf numFmtId="0" fontId="40" fillId="0" borderId="86" xfId="0" applyFont="1" applyBorder="1" applyAlignment="1">
      <alignment horizontal="center" vertical="center" wrapText="1"/>
    </xf>
    <xf numFmtId="0" fontId="40" fillId="12" borderId="33" xfId="0" applyFont="1" applyFill="1" applyBorder="1" applyAlignment="1">
      <alignment vertical="center"/>
    </xf>
    <xf numFmtId="0" fontId="40" fillId="12" borderId="35" xfId="0" applyFont="1" applyFill="1" applyBorder="1" applyAlignment="1">
      <alignment vertical="center"/>
    </xf>
    <xf numFmtId="0" fontId="40" fillId="12" borderId="37" xfId="0" applyFont="1" applyFill="1" applyBorder="1" applyAlignment="1">
      <alignment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167" fontId="40" fillId="0" borderId="4" xfId="0" applyNumberFormat="1" applyFont="1" applyBorder="1" applyAlignment="1">
      <alignment horizontal="center" vertical="center"/>
    </xf>
    <xf numFmtId="0" fontId="6" fillId="12" borderId="36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07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1" fontId="6" fillId="12" borderId="54" xfId="0" applyNumberFormat="1" applyFont="1" applyFill="1" applyBorder="1" applyAlignment="1">
      <alignment horizontal="center"/>
    </xf>
    <xf numFmtId="1" fontId="6" fillId="12" borderId="107" xfId="0" applyNumberFormat="1" applyFont="1" applyFill="1" applyBorder="1" applyAlignment="1">
      <alignment horizontal="center"/>
    </xf>
    <xf numFmtId="1" fontId="6" fillId="12" borderId="86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6" fillId="0" borderId="4" xfId="0" applyFont="1" applyBorder="1" applyAlignment="1">
      <alignment horizontal="center" vertical="center"/>
    </xf>
  </cellXfs>
  <cellStyles count="2">
    <cellStyle name="Bình thường 2" xfId="1" xr:uid="{D750321D-6BF9-49E8-9148-1CD6B4C8EE23}"/>
    <cellStyle name="Normal" xfId="0" builtinId="0"/>
  </cellStyles>
  <dxfs count="6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wmf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wmf"/><Relationship Id="rId1" Type="http://schemas.openxmlformats.org/officeDocument/2006/relationships/image" Target="../media/image22.w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wmf"/><Relationship Id="rId2" Type="http://schemas.openxmlformats.org/officeDocument/2006/relationships/image" Target="../media/image34.png"/><Relationship Id="rId1" Type="http://schemas.openxmlformats.org/officeDocument/2006/relationships/image" Target="../media/image33.emf"/><Relationship Id="rId4" Type="http://schemas.openxmlformats.org/officeDocument/2006/relationships/image" Target="../media/image35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wmf"/><Relationship Id="rId14" Type="http://schemas.openxmlformats.org/officeDocument/2006/relationships/image" Target="../media/image14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6.vml.rels><?xml version="1.0" encoding="UTF-8" standalone="yes"?>
<Relationships xmlns="http://schemas.openxmlformats.org/package/2006/relationships"><Relationship Id="rId8" Type="http://schemas.openxmlformats.org/officeDocument/2006/relationships/image" Target="../media/image31.emf"/><Relationship Id="rId3" Type="http://schemas.openxmlformats.org/officeDocument/2006/relationships/image" Target="../media/image26.emf"/><Relationship Id="rId7" Type="http://schemas.openxmlformats.org/officeDocument/2006/relationships/image" Target="../media/image30.emf"/><Relationship Id="rId2" Type="http://schemas.openxmlformats.org/officeDocument/2006/relationships/image" Target="../media/image25.emf"/><Relationship Id="rId1" Type="http://schemas.openxmlformats.org/officeDocument/2006/relationships/image" Target="../media/image24.emf"/><Relationship Id="rId6" Type="http://schemas.openxmlformats.org/officeDocument/2006/relationships/image" Target="../media/image29.emf"/><Relationship Id="rId5" Type="http://schemas.openxmlformats.org/officeDocument/2006/relationships/image" Target="../media/image28.emf"/><Relationship Id="rId4" Type="http://schemas.openxmlformats.org/officeDocument/2006/relationships/image" Target="../media/image27.emf"/><Relationship Id="rId9" Type="http://schemas.openxmlformats.org/officeDocument/2006/relationships/image" Target="../media/image3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186</xdr:row>
      <xdr:rowOff>0</xdr:rowOff>
    </xdr:from>
    <xdr:to>
      <xdr:col>9</xdr:col>
      <xdr:colOff>304800</xdr:colOff>
      <xdr:row>186</xdr:row>
      <xdr:rowOff>0</xdr:rowOff>
    </xdr:to>
    <xdr:grpSp>
      <xdr:nvGrpSpPr>
        <xdr:cNvPr id="2" name="Group 9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>
          <a:grpSpLocks/>
        </xdr:cNvGrpSpPr>
      </xdr:nvGrpSpPr>
      <xdr:grpSpPr bwMode="auto">
        <a:xfrm>
          <a:off x="4633232" y="36122429"/>
          <a:ext cx="2075997" cy="0"/>
          <a:chOff x="497" y="3068"/>
          <a:chExt cx="140" cy="102"/>
        </a:xfrm>
      </xdr:grpSpPr>
      <xdr:sp macro="" textlink="">
        <xdr:nvSpPr>
          <xdr:cNvPr id="3" name="Line 10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519" y="3120"/>
            <a:ext cx="0" cy="4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630" y="3119"/>
            <a:ext cx="0" cy="5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518" y="3120"/>
            <a:ext cx="11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>
            <a:spLocks noChangeShapeType="1"/>
          </xdr:cNvSpPr>
        </xdr:nvSpPr>
        <xdr:spPr bwMode="auto">
          <a:xfrm>
            <a:off x="519" y="3167"/>
            <a:ext cx="112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>
            <a:spLocks noChangeShapeType="1"/>
          </xdr:cNvSpPr>
        </xdr:nvSpPr>
        <xdr:spPr bwMode="auto">
          <a:xfrm>
            <a:off x="517" y="3069"/>
            <a:ext cx="0" cy="3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>
            <a:spLocks noChangeShapeType="1"/>
          </xdr:cNvSpPr>
        </xdr:nvSpPr>
        <xdr:spPr bwMode="auto">
          <a:xfrm>
            <a:off x="630" y="3068"/>
            <a:ext cx="0" cy="3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517" y="3074"/>
            <a:ext cx="113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497" y="3120"/>
            <a:ext cx="18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>
            <a:spLocks noChangeShapeType="1"/>
          </xdr:cNvSpPr>
        </xdr:nvSpPr>
        <xdr:spPr bwMode="auto">
          <a:xfrm>
            <a:off x="498" y="3167"/>
            <a:ext cx="21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505" y="3117"/>
            <a:ext cx="0" cy="4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" name="Group 20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GrpSpPr>
            <a:grpSpLocks/>
          </xdr:cNvGrpSpPr>
        </xdr:nvGrpSpPr>
        <xdr:grpSpPr bwMode="auto">
          <a:xfrm>
            <a:off x="531" y="3115"/>
            <a:ext cx="10" cy="6"/>
            <a:chOff x="545" y="3239"/>
            <a:chExt cx="10" cy="6"/>
          </a:xfrm>
        </xdr:grpSpPr>
        <xdr:sp macro="" textlink="">
          <xdr:nvSpPr>
            <xdr:cNvPr id="50" name="Line 21">
              <a:extLst>
                <a:ext uri="{FF2B5EF4-FFF2-40B4-BE49-F238E27FC236}">
                  <a16:creationId xmlns:a16="http://schemas.microsoft.com/office/drawing/2014/main" id="{00000000-0008-0000-0700-000032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1" name="Line 22">
              <a:extLst>
                <a:ext uri="{FF2B5EF4-FFF2-40B4-BE49-F238E27FC236}">
                  <a16:creationId xmlns:a16="http://schemas.microsoft.com/office/drawing/2014/main" id="{00000000-0008-0000-0700-00003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" name="Group 2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GrpSpPr>
            <a:grpSpLocks/>
          </xdr:cNvGrpSpPr>
        </xdr:nvGrpSpPr>
        <xdr:grpSpPr bwMode="auto">
          <a:xfrm>
            <a:off x="515" y="3114"/>
            <a:ext cx="10" cy="6"/>
            <a:chOff x="545" y="3239"/>
            <a:chExt cx="10" cy="6"/>
          </a:xfrm>
        </xdr:grpSpPr>
        <xdr:sp macro="" textlink="">
          <xdr:nvSpPr>
            <xdr:cNvPr id="48" name="Line 24">
              <a:extLst>
                <a:ext uri="{FF2B5EF4-FFF2-40B4-BE49-F238E27FC236}">
                  <a16:creationId xmlns:a16="http://schemas.microsoft.com/office/drawing/2014/main" id="{00000000-0008-0000-0700-000030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" name="Line 25">
              <a:extLst>
                <a:ext uri="{FF2B5EF4-FFF2-40B4-BE49-F238E27FC236}">
                  <a16:creationId xmlns:a16="http://schemas.microsoft.com/office/drawing/2014/main" id="{00000000-0008-0000-0700-00003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" name="Group 26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GrpSpPr>
            <a:grpSpLocks/>
          </xdr:cNvGrpSpPr>
        </xdr:nvGrpSpPr>
        <xdr:grpSpPr bwMode="auto">
          <a:xfrm>
            <a:off x="548" y="3115"/>
            <a:ext cx="10" cy="6"/>
            <a:chOff x="545" y="3239"/>
            <a:chExt cx="10" cy="6"/>
          </a:xfrm>
        </xdr:grpSpPr>
        <xdr:sp macro="" textlink="">
          <xdr:nvSpPr>
            <xdr:cNvPr id="46" name="Line 27">
              <a:extLst>
                <a:ext uri="{FF2B5EF4-FFF2-40B4-BE49-F238E27FC236}">
                  <a16:creationId xmlns:a16="http://schemas.microsoft.com/office/drawing/2014/main" id="{00000000-0008-0000-0700-00002E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" name="Line 28">
              <a:extLst>
                <a:ext uri="{FF2B5EF4-FFF2-40B4-BE49-F238E27FC236}">
                  <a16:creationId xmlns:a16="http://schemas.microsoft.com/office/drawing/2014/main" id="{00000000-0008-0000-0700-00002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6" name="Group 29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GrpSpPr>
            <a:grpSpLocks/>
          </xdr:cNvGrpSpPr>
        </xdr:nvGrpSpPr>
        <xdr:grpSpPr bwMode="auto">
          <a:xfrm>
            <a:off x="564" y="3113"/>
            <a:ext cx="10" cy="6"/>
            <a:chOff x="545" y="3239"/>
            <a:chExt cx="10" cy="6"/>
          </a:xfrm>
        </xdr:grpSpPr>
        <xdr:sp macro="" textlink="">
          <xdr:nvSpPr>
            <xdr:cNvPr id="44" name="Line 30">
              <a:extLst>
                <a:ext uri="{FF2B5EF4-FFF2-40B4-BE49-F238E27FC236}">
                  <a16:creationId xmlns:a16="http://schemas.microsoft.com/office/drawing/2014/main" id="{00000000-0008-0000-0700-00002C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" name="Line 31">
              <a:extLst>
                <a:ext uri="{FF2B5EF4-FFF2-40B4-BE49-F238E27FC236}">
                  <a16:creationId xmlns:a16="http://schemas.microsoft.com/office/drawing/2014/main" id="{00000000-0008-0000-0700-00002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7" name="Group 32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GrpSpPr>
            <a:grpSpLocks/>
          </xdr:cNvGrpSpPr>
        </xdr:nvGrpSpPr>
        <xdr:grpSpPr bwMode="auto">
          <a:xfrm>
            <a:off x="584" y="3113"/>
            <a:ext cx="10" cy="6"/>
            <a:chOff x="545" y="3239"/>
            <a:chExt cx="10" cy="6"/>
          </a:xfrm>
        </xdr:grpSpPr>
        <xdr:sp macro="" textlink="">
          <xdr:nvSpPr>
            <xdr:cNvPr id="42" name="Line 33">
              <a:extLst>
                <a:ext uri="{FF2B5EF4-FFF2-40B4-BE49-F238E27FC236}">
                  <a16:creationId xmlns:a16="http://schemas.microsoft.com/office/drawing/2014/main" id="{00000000-0008-0000-0700-00002A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" name="Line 34">
              <a:extLst>
                <a:ext uri="{FF2B5EF4-FFF2-40B4-BE49-F238E27FC236}">
                  <a16:creationId xmlns:a16="http://schemas.microsoft.com/office/drawing/2014/main" id="{00000000-0008-0000-0700-00002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8" name="Group 35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GrpSpPr>
            <a:grpSpLocks/>
          </xdr:cNvGrpSpPr>
        </xdr:nvGrpSpPr>
        <xdr:grpSpPr bwMode="auto">
          <a:xfrm>
            <a:off x="600" y="3114"/>
            <a:ext cx="10" cy="6"/>
            <a:chOff x="545" y="3239"/>
            <a:chExt cx="10" cy="6"/>
          </a:xfrm>
        </xdr:grpSpPr>
        <xdr:sp macro="" textlink="">
          <xdr:nvSpPr>
            <xdr:cNvPr id="40" name="Line 36">
              <a:extLst>
                <a:ext uri="{FF2B5EF4-FFF2-40B4-BE49-F238E27FC236}">
                  <a16:creationId xmlns:a16="http://schemas.microsoft.com/office/drawing/2014/main" id="{00000000-0008-0000-0700-00002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Line 37">
              <a:extLst>
                <a:ext uri="{FF2B5EF4-FFF2-40B4-BE49-F238E27FC236}">
                  <a16:creationId xmlns:a16="http://schemas.microsoft.com/office/drawing/2014/main" id="{00000000-0008-0000-0700-00002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9" name="Group 3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pSpPr>
            <a:grpSpLocks/>
          </xdr:cNvGrpSpPr>
        </xdr:nvGrpSpPr>
        <xdr:grpSpPr bwMode="auto">
          <a:xfrm>
            <a:off x="617" y="3113"/>
            <a:ext cx="10" cy="6"/>
            <a:chOff x="545" y="3239"/>
            <a:chExt cx="10" cy="6"/>
          </a:xfrm>
        </xdr:grpSpPr>
        <xdr:sp macro="" textlink="">
          <xdr:nvSpPr>
            <xdr:cNvPr id="38" name="Line 39">
              <a:extLst>
                <a:ext uri="{FF2B5EF4-FFF2-40B4-BE49-F238E27FC236}">
                  <a16:creationId xmlns:a16="http://schemas.microsoft.com/office/drawing/2014/main" id="{00000000-0008-0000-0700-00002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40">
              <a:extLst>
                <a:ext uri="{FF2B5EF4-FFF2-40B4-BE49-F238E27FC236}">
                  <a16:creationId xmlns:a16="http://schemas.microsoft.com/office/drawing/2014/main" id="{00000000-0008-0000-0700-00002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0" name="Group 41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GrpSpPr>
            <a:grpSpLocks/>
          </xdr:cNvGrpSpPr>
        </xdr:nvGrpSpPr>
        <xdr:grpSpPr bwMode="auto">
          <a:xfrm>
            <a:off x="630" y="3123"/>
            <a:ext cx="7" cy="9"/>
            <a:chOff x="653" y="3197"/>
            <a:chExt cx="7" cy="9"/>
          </a:xfrm>
        </xdr:grpSpPr>
        <xdr:sp macro="" textlink="">
          <xdr:nvSpPr>
            <xdr:cNvPr id="36" name="Line 42">
              <a:extLst>
                <a:ext uri="{FF2B5EF4-FFF2-40B4-BE49-F238E27FC236}">
                  <a16:creationId xmlns:a16="http://schemas.microsoft.com/office/drawing/2014/main" id="{00000000-0008-0000-0700-000024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" name="Line 43">
              <a:extLst>
                <a:ext uri="{FF2B5EF4-FFF2-40B4-BE49-F238E27FC236}">
                  <a16:creationId xmlns:a16="http://schemas.microsoft.com/office/drawing/2014/main" id="{00000000-0008-0000-0700-000025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1" name="Group 44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GrpSpPr>
            <a:grpSpLocks/>
          </xdr:cNvGrpSpPr>
        </xdr:nvGrpSpPr>
        <xdr:grpSpPr bwMode="auto">
          <a:xfrm>
            <a:off x="629" y="3140"/>
            <a:ext cx="7" cy="9"/>
            <a:chOff x="653" y="3197"/>
            <a:chExt cx="7" cy="9"/>
          </a:xfrm>
        </xdr:grpSpPr>
        <xdr:sp macro="" textlink="">
          <xdr:nvSpPr>
            <xdr:cNvPr id="34" name="Line 45">
              <a:extLst>
                <a:ext uri="{FF2B5EF4-FFF2-40B4-BE49-F238E27FC236}">
                  <a16:creationId xmlns:a16="http://schemas.microsoft.com/office/drawing/2014/main" id="{00000000-0008-0000-0700-00002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Line 46">
              <a:extLst>
                <a:ext uri="{FF2B5EF4-FFF2-40B4-BE49-F238E27FC236}">
                  <a16:creationId xmlns:a16="http://schemas.microsoft.com/office/drawing/2014/main" id="{00000000-0008-0000-0700-00002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2" name="Group 47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GrpSpPr>
            <a:grpSpLocks/>
          </xdr:cNvGrpSpPr>
        </xdr:nvGrpSpPr>
        <xdr:grpSpPr bwMode="auto">
          <a:xfrm>
            <a:off x="629" y="3158"/>
            <a:ext cx="7" cy="9"/>
            <a:chOff x="653" y="3197"/>
            <a:chExt cx="7" cy="9"/>
          </a:xfrm>
        </xdr:grpSpPr>
        <xdr:sp macro="" textlink="">
          <xdr:nvSpPr>
            <xdr:cNvPr id="32" name="Line 48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49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3" name="Group 50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GrpSpPr>
            <a:grpSpLocks/>
          </xdr:cNvGrpSpPr>
        </xdr:nvGrpSpPr>
        <xdr:grpSpPr bwMode="auto">
          <a:xfrm>
            <a:off x="511" y="3140"/>
            <a:ext cx="7" cy="9"/>
            <a:chOff x="653" y="3197"/>
            <a:chExt cx="7" cy="9"/>
          </a:xfrm>
        </xdr:grpSpPr>
        <xdr:sp macro="" textlink="">
          <xdr:nvSpPr>
            <xdr:cNvPr id="30" name="Line 51">
              <a:extLst>
                <a:ext uri="{FF2B5EF4-FFF2-40B4-BE49-F238E27FC236}">
                  <a16:creationId xmlns:a16="http://schemas.microsoft.com/office/drawing/2014/main" id="{00000000-0008-0000-0700-00001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52">
              <a:extLst>
                <a:ext uri="{FF2B5EF4-FFF2-40B4-BE49-F238E27FC236}">
                  <a16:creationId xmlns:a16="http://schemas.microsoft.com/office/drawing/2014/main" id="{00000000-0008-0000-0700-00001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4" name="Group 5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GrpSpPr>
            <a:grpSpLocks/>
          </xdr:cNvGrpSpPr>
        </xdr:nvGrpSpPr>
        <xdr:grpSpPr bwMode="auto">
          <a:xfrm>
            <a:off x="511" y="3121"/>
            <a:ext cx="7" cy="9"/>
            <a:chOff x="653" y="3197"/>
            <a:chExt cx="7" cy="9"/>
          </a:xfrm>
        </xdr:grpSpPr>
        <xdr:sp macro="" textlink="">
          <xdr:nvSpPr>
            <xdr:cNvPr id="28" name="Line 54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55">
              <a:extLst>
                <a:ext uri="{FF2B5EF4-FFF2-40B4-BE49-F238E27FC236}">
                  <a16:creationId xmlns:a16="http://schemas.microsoft.com/office/drawing/2014/main" id="{00000000-0008-0000-0700-00001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5" name="Group 56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GrpSpPr>
            <a:grpSpLocks/>
          </xdr:cNvGrpSpPr>
        </xdr:nvGrpSpPr>
        <xdr:grpSpPr bwMode="auto">
          <a:xfrm>
            <a:off x="511" y="3158"/>
            <a:ext cx="7" cy="9"/>
            <a:chOff x="653" y="3197"/>
            <a:chExt cx="7" cy="9"/>
          </a:xfrm>
        </xdr:grpSpPr>
        <xdr:sp macro="" textlink="">
          <xdr:nvSpPr>
            <xdr:cNvPr id="26" name="Line 57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58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7</xdr:col>
      <xdr:colOff>238125</xdr:colOff>
      <xdr:row>186</xdr:row>
      <xdr:rowOff>0</xdr:rowOff>
    </xdr:from>
    <xdr:to>
      <xdr:col>9</xdr:col>
      <xdr:colOff>219075</xdr:colOff>
      <xdr:row>186</xdr:row>
      <xdr:rowOff>0</xdr:rowOff>
    </xdr:to>
    <xdr:grpSp>
      <xdr:nvGrpSpPr>
        <xdr:cNvPr id="52" name="Group 5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GrpSpPr>
          <a:grpSpLocks/>
        </xdr:cNvGrpSpPr>
      </xdr:nvGrpSpPr>
      <xdr:grpSpPr bwMode="auto">
        <a:xfrm>
          <a:off x="5254625" y="36122429"/>
          <a:ext cx="1368879" cy="0"/>
          <a:chOff x="463" y="2821"/>
          <a:chExt cx="103" cy="82"/>
        </a:xfrm>
      </xdr:grpSpPr>
      <xdr:sp macro="" textlink="">
        <xdr:nvSpPr>
          <xdr:cNvPr id="53" name="Line 60">
            <a:extLst>
              <a:ext uri="{FF2B5EF4-FFF2-40B4-BE49-F238E27FC236}">
                <a16:creationId xmlns:a16="http://schemas.microsoft.com/office/drawing/2014/main" id="{00000000-0008-0000-07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472" y="2843"/>
            <a:ext cx="0" cy="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61">
            <a:extLst>
              <a:ext uri="{FF2B5EF4-FFF2-40B4-BE49-F238E27FC236}">
                <a16:creationId xmlns:a16="http://schemas.microsoft.com/office/drawing/2014/main" id="{00000000-0008-0000-0700-000036000000}"/>
              </a:ext>
            </a:extLst>
          </xdr:cNvPr>
          <xdr:cNvSpPr>
            <a:spLocks noChangeShapeType="1"/>
          </xdr:cNvSpPr>
        </xdr:nvSpPr>
        <xdr:spPr bwMode="auto">
          <a:xfrm>
            <a:off x="472" y="2843"/>
            <a:ext cx="69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62">
            <a:extLst>
              <a:ext uri="{FF2B5EF4-FFF2-40B4-BE49-F238E27FC236}">
                <a16:creationId xmlns:a16="http://schemas.microsoft.com/office/drawing/2014/main" id="{00000000-0008-0000-07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472" y="2901"/>
            <a:ext cx="68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63">
            <a:extLst>
              <a:ext uri="{FF2B5EF4-FFF2-40B4-BE49-F238E27FC236}">
                <a16:creationId xmlns:a16="http://schemas.microsoft.com/office/drawing/2014/main" id="{00000000-0008-0000-0700-000038000000}"/>
              </a:ext>
            </a:extLst>
          </xdr:cNvPr>
          <xdr:cNvSpPr>
            <a:spLocks noChangeShapeType="1"/>
          </xdr:cNvSpPr>
        </xdr:nvSpPr>
        <xdr:spPr bwMode="auto">
          <a:xfrm>
            <a:off x="540" y="2843"/>
            <a:ext cx="0" cy="5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64">
            <a:extLst>
              <a:ext uri="{FF2B5EF4-FFF2-40B4-BE49-F238E27FC236}">
                <a16:creationId xmlns:a16="http://schemas.microsoft.com/office/drawing/2014/main" id="{00000000-0008-0000-07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547" y="2844"/>
            <a:ext cx="19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65">
            <a:extLst>
              <a:ext uri="{FF2B5EF4-FFF2-40B4-BE49-F238E27FC236}">
                <a16:creationId xmlns:a16="http://schemas.microsoft.com/office/drawing/2014/main" id="{00000000-0008-0000-0700-00003A000000}"/>
              </a:ext>
            </a:extLst>
          </xdr:cNvPr>
          <xdr:cNvSpPr>
            <a:spLocks noChangeShapeType="1"/>
          </xdr:cNvSpPr>
        </xdr:nvSpPr>
        <xdr:spPr bwMode="auto">
          <a:xfrm>
            <a:off x="545" y="2901"/>
            <a:ext cx="19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66">
            <a:extLst>
              <a:ext uri="{FF2B5EF4-FFF2-40B4-BE49-F238E27FC236}">
                <a16:creationId xmlns:a16="http://schemas.microsoft.com/office/drawing/2014/main" id="{00000000-0008-0000-07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557" y="2843"/>
            <a:ext cx="0" cy="5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67">
            <a:extLst>
              <a:ext uri="{FF2B5EF4-FFF2-40B4-BE49-F238E27FC236}">
                <a16:creationId xmlns:a16="http://schemas.microsoft.com/office/drawing/2014/main" id="{00000000-0008-0000-07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472" y="2821"/>
            <a:ext cx="0" cy="1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68">
            <a:extLst>
              <a:ext uri="{FF2B5EF4-FFF2-40B4-BE49-F238E27FC236}">
                <a16:creationId xmlns:a16="http://schemas.microsoft.com/office/drawing/2014/main" id="{00000000-0008-0000-0700-00003D000000}"/>
              </a:ext>
            </a:extLst>
          </xdr:cNvPr>
          <xdr:cNvSpPr>
            <a:spLocks noChangeShapeType="1"/>
          </xdr:cNvSpPr>
        </xdr:nvSpPr>
        <xdr:spPr bwMode="auto">
          <a:xfrm>
            <a:off x="541" y="2822"/>
            <a:ext cx="0" cy="1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69">
            <a:extLst>
              <a:ext uri="{FF2B5EF4-FFF2-40B4-BE49-F238E27FC236}">
                <a16:creationId xmlns:a16="http://schemas.microsoft.com/office/drawing/2014/main" id="{00000000-0008-0000-0700-00003E000000}"/>
              </a:ext>
            </a:extLst>
          </xdr:cNvPr>
          <xdr:cNvSpPr>
            <a:spLocks noChangeShapeType="1"/>
          </xdr:cNvSpPr>
        </xdr:nvSpPr>
        <xdr:spPr bwMode="auto">
          <a:xfrm>
            <a:off x="471" y="2825"/>
            <a:ext cx="71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3" name="Group 70">
            <a:extLst>
              <a:ext uri="{FF2B5EF4-FFF2-40B4-BE49-F238E27FC236}">
                <a16:creationId xmlns:a16="http://schemas.microsoft.com/office/drawing/2014/main" id="{00000000-0008-0000-0700-00003F000000}"/>
              </a:ext>
            </a:extLst>
          </xdr:cNvPr>
          <xdr:cNvGrpSpPr>
            <a:grpSpLocks/>
          </xdr:cNvGrpSpPr>
        </xdr:nvGrpSpPr>
        <xdr:grpSpPr bwMode="auto">
          <a:xfrm>
            <a:off x="530" y="2836"/>
            <a:ext cx="10" cy="6"/>
            <a:chOff x="545" y="3239"/>
            <a:chExt cx="10" cy="6"/>
          </a:xfrm>
        </xdr:grpSpPr>
        <xdr:sp macro="" textlink="">
          <xdr:nvSpPr>
            <xdr:cNvPr id="82" name="Line 71">
              <a:extLst>
                <a:ext uri="{FF2B5EF4-FFF2-40B4-BE49-F238E27FC236}">
                  <a16:creationId xmlns:a16="http://schemas.microsoft.com/office/drawing/2014/main" id="{00000000-0008-0000-0700-000052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3" name="Line 72">
              <a:extLst>
                <a:ext uri="{FF2B5EF4-FFF2-40B4-BE49-F238E27FC236}">
                  <a16:creationId xmlns:a16="http://schemas.microsoft.com/office/drawing/2014/main" id="{00000000-0008-0000-0700-00005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4" name="Group 73">
            <a:extLst>
              <a:ext uri="{FF2B5EF4-FFF2-40B4-BE49-F238E27FC236}">
                <a16:creationId xmlns:a16="http://schemas.microsoft.com/office/drawing/2014/main" id="{00000000-0008-0000-0700-000040000000}"/>
              </a:ext>
            </a:extLst>
          </xdr:cNvPr>
          <xdr:cNvGrpSpPr>
            <a:grpSpLocks/>
          </xdr:cNvGrpSpPr>
        </xdr:nvGrpSpPr>
        <xdr:grpSpPr bwMode="auto">
          <a:xfrm>
            <a:off x="463" y="2868"/>
            <a:ext cx="7" cy="9"/>
            <a:chOff x="653" y="3197"/>
            <a:chExt cx="7" cy="9"/>
          </a:xfrm>
        </xdr:grpSpPr>
        <xdr:sp macro="" textlink="">
          <xdr:nvSpPr>
            <xdr:cNvPr id="80" name="Line 74">
              <a:extLst>
                <a:ext uri="{FF2B5EF4-FFF2-40B4-BE49-F238E27FC236}">
                  <a16:creationId xmlns:a16="http://schemas.microsoft.com/office/drawing/2014/main" id="{00000000-0008-0000-0700-00005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1" name="Line 75">
              <a:extLst>
                <a:ext uri="{FF2B5EF4-FFF2-40B4-BE49-F238E27FC236}">
                  <a16:creationId xmlns:a16="http://schemas.microsoft.com/office/drawing/2014/main" id="{00000000-0008-0000-0700-00005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5" name="Group 76">
            <a:extLst>
              <a:ext uri="{FF2B5EF4-FFF2-40B4-BE49-F238E27FC236}">
                <a16:creationId xmlns:a16="http://schemas.microsoft.com/office/drawing/2014/main" id="{00000000-0008-0000-0700-000041000000}"/>
              </a:ext>
            </a:extLst>
          </xdr:cNvPr>
          <xdr:cNvGrpSpPr>
            <a:grpSpLocks/>
          </xdr:cNvGrpSpPr>
        </xdr:nvGrpSpPr>
        <xdr:grpSpPr bwMode="auto">
          <a:xfrm>
            <a:off x="464" y="2846"/>
            <a:ext cx="7" cy="9"/>
            <a:chOff x="653" y="3197"/>
            <a:chExt cx="7" cy="9"/>
          </a:xfrm>
        </xdr:grpSpPr>
        <xdr:sp macro="" textlink="">
          <xdr:nvSpPr>
            <xdr:cNvPr id="78" name="Line 77">
              <a:extLst>
                <a:ext uri="{FF2B5EF4-FFF2-40B4-BE49-F238E27FC236}">
                  <a16:creationId xmlns:a16="http://schemas.microsoft.com/office/drawing/2014/main" id="{00000000-0008-0000-0700-00004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9" name="Line 78">
              <a:extLst>
                <a:ext uri="{FF2B5EF4-FFF2-40B4-BE49-F238E27FC236}">
                  <a16:creationId xmlns:a16="http://schemas.microsoft.com/office/drawing/2014/main" id="{00000000-0008-0000-0700-00004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6" name="Group 79">
            <a:extLst>
              <a:ext uri="{FF2B5EF4-FFF2-40B4-BE49-F238E27FC236}">
                <a16:creationId xmlns:a16="http://schemas.microsoft.com/office/drawing/2014/main" id="{00000000-0008-0000-0700-000042000000}"/>
              </a:ext>
            </a:extLst>
          </xdr:cNvPr>
          <xdr:cNvGrpSpPr>
            <a:grpSpLocks/>
          </xdr:cNvGrpSpPr>
        </xdr:nvGrpSpPr>
        <xdr:grpSpPr bwMode="auto">
          <a:xfrm>
            <a:off x="463" y="2892"/>
            <a:ext cx="7" cy="9"/>
            <a:chOff x="653" y="3197"/>
            <a:chExt cx="7" cy="9"/>
          </a:xfrm>
        </xdr:grpSpPr>
        <xdr:sp macro="" textlink="">
          <xdr:nvSpPr>
            <xdr:cNvPr id="76" name="Line 80">
              <a:extLst>
                <a:ext uri="{FF2B5EF4-FFF2-40B4-BE49-F238E27FC236}">
                  <a16:creationId xmlns:a16="http://schemas.microsoft.com/office/drawing/2014/main" id="{00000000-0008-0000-0700-00004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7" name="Line 81">
              <a:extLst>
                <a:ext uri="{FF2B5EF4-FFF2-40B4-BE49-F238E27FC236}">
                  <a16:creationId xmlns:a16="http://schemas.microsoft.com/office/drawing/2014/main" id="{00000000-0008-0000-0700-00004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7" name="Group 82">
            <a:extLst>
              <a:ext uri="{FF2B5EF4-FFF2-40B4-BE49-F238E27FC236}">
                <a16:creationId xmlns:a16="http://schemas.microsoft.com/office/drawing/2014/main" id="{00000000-0008-0000-0700-000043000000}"/>
              </a:ext>
            </a:extLst>
          </xdr:cNvPr>
          <xdr:cNvGrpSpPr>
            <a:grpSpLocks/>
          </xdr:cNvGrpSpPr>
        </xdr:nvGrpSpPr>
        <xdr:grpSpPr bwMode="auto">
          <a:xfrm>
            <a:off x="511" y="2837"/>
            <a:ext cx="10" cy="6"/>
            <a:chOff x="545" y="3239"/>
            <a:chExt cx="10" cy="6"/>
          </a:xfrm>
        </xdr:grpSpPr>
        <xdr:sp macro="" textlink="">
          <xdr:nvSpPr>
            <xdr:cNvPr id="74" name="Line 83">
              <a:extLst>
                <a:ext uri="{FF2B5EF4-FFF2-40B4-BE49-F238E27FC236}">
                  <a16:creationId xmlns:a16="http://schemas.microsoft.com/office/drawing/2014/main" id="{00000000-0008-0000-0700-00004A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5" name="Line 84">
              <a:extLst>
                <a:ext uri="{FF2B5EF4-FFF2-40B4-BE49-F238E27FC236}">
                  <a16:creationId xmlns:a16="http://schemas.microsoft.com/office/drawing/2014/main" id="{00000000-0008-0000-0700-00004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8" name="Group 85">
            <a:extLst>
              <a:ext uri="{FF2B5EF4-FFF2-40B4-BE49-F238E27FC236}">
                <a16:creationId xmlns:a16="http://schemas.microsoft.com/office/drawing/2014/main" id="{00000000-0008-0000-0700-000044000000}"/>
              </a:ext>
            </a:extLst>
          </xdr:cNvPr>
          <xdr:cNvGrpSpPr>
            <a:grpSpLocks/>
          </xdr:cNvGrpSpPr>
        </xdr:nvGrpSpPr>
        <xdr:grpSpPr bwMode="auto">
          <a:xfrm>
            <a:off x="474" y="2837"/>
            <a:ext cx="10" cy="6"/>
            <a:chOff x="545" y="3239"/>
            <a:chExt cx="10" cy="6"/>
          </a:xfrm>
        </xdr:grpSpPr>
        <xdr:sp macro="" textlink="">
          <xdr:nvSpPr>
            <xdr:cNvPr id="72" name="Line 86">
              <a:extLst>
                <a:ext uri="{FF2B5EF4-FFF2-40B4-BE49-F238E27FC236}">
                  <a16:creationId xmlns:a16="http://schemas.microsoft.com/office/drawing/2014/main" id="{00000000-0008-0000-0700-00004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3" name="Line 87">
              <a:extLst>
                <a:ext uri="{FF2B5EF4-FFF2-40B4-BE49-F238E27FC236}">
                  <a16:creationId xmlns:a16="http://schemas.microsoft.com/office/drawing/2014/main" id="{00000000-0008-0000-0700-00004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69" name="Group 88">
            <a:extLst>
              <a:ext uri="{FF2B5EF4-FFF2-40B4-BE49-F238E27FC236}">
                <a16:creationId xmlns:a16="http://schemas.microsoft.com/office/drawing/2014/main" id="{00000000-0008-0000-0700-000045000000}"/>
              </a:ext>
            </a:extLst>
          </xdr:cNvPr>
          <xdr:cNvGrpSpPr>
            <a:grpSpLocks/>
          </xdr:cNvGrpSpPr>
        </xdr:nvGrpSpPr>
        <xdr:grpSpPr bwMode="auto">
          <a:xfrm>
            <a:off x="492" y="2836"/>
            <a:ext cx="10" cy="6"/>
            <a:chOff x="545" y="3239"/>
            <a:chExt cx="10" cy="6"/>
          </a:xfrm>
        </xdr:grpSpPr>
        <xdr:sp macro="" textlink="">
          <xdr:nvSpPr>
            <xdr:cNvPr id="70" name="Line 89">
              <a:extLst>
                <a:ext uri="{FF2B5EF4-FFF2-40B4-BE49-F238E27FC236}">
                  <a16:creationId xmlns:a16="http://schemas.microsoft.com/office/drawing/2014/main" id="{00000000-0008-0000-0700-00004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71" name="Line 90">
              <a:extLst>
                <a:ext uri="{FF2B5EF4-FFF2-40B4-BE49-F238E27FC236}">
                  <a16:creationId xmlns:a16="http://schemas.microsoft.com/office/drawing/2014/main" id="{00000000-0008-0000-0700-000047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647700</xdr:colOff>
      <xdr:row>186</xdr:row>
      <xdr:rowOff>0</xdr:rowOff>
    </xdr:from>
    <xdr:to>
      <xdr:col>9</xdr:col>
      <xdr:colOff>28575</xdr:colOff>
      <xdr:row>186</xdr:row>
      <xdr:rowOff>0</xdr:rowOff>
    </xdr:to>
    <xdr:grpSp>
      <xdr:nvGrpSpPr>
        <xdr:cNvPr id="121" name="Group 174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GrpSpPr>
          <a:grpSpLocks/>
        </xdr:cNvGrpSpPr>
      </xdr:nvGrpSpPr>
      <xdr:grpSpPr bwMode="auto">
        <a:xfrm>
          <a:off x="647700" y="36122429"/>
          <a:ext cx="5785304" cy="0"/>
          <a:chOff x="67" y="3604"/>
          <a:chExt cx="476" cy="354"/>
        </a:xfrm>
      </xdr:grpSpPr>
      <xdr:sp macro="" textlink="">
        <xdr:nvSpPr>
          <xdr:cNvPr id="122" name="Rectangle 175">
            <a:extLst>
              <a:ext uri="{FF2B5EF4-FFF2-40B4-BE49-F238E27FC236}">
                <a16:creationId xmlns:a16="http://schemas.microsoft.com/office/drawing/2014/main" id="{00000000-0008-0000-0700-00007A000000}"/>
              </a:ext>
            </a:extLst>
          </xdr:cNvPr>
          <xdr:cNvSpPr>
            <a:spLocks noChangeArrowheads="1"/>
          </xdr:cNvSpPr>
        </xdr:nvSpPr>
        <xdr:spPr bwMode="auto">
          <a:xfrm>
            <a:off x="67" y="3609"/>
            <a:ext cx="336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3" name="Rectangle 176">
            <a:extLst>
              <a:ext uri="{FF2B5EF4-FFF2-40B4-BE49-F238E27FC236}">
                <a16:creationId xmlns:a16="http://schemas.microsoft.com/office/drawing/2014/main" id="{00000000-0008-0000-0700-00007B000000}"/>
              </a:ext>
            </a:extLst>
          </xdr:cNvPr>
          <xdr:cNvSpPr>
            <a:spLocks noChangeArrowheads="1"/>
          </xdr:cNvSpPr>
        </xdr:nvSpPr>
        <xdr:spPr bwMode="auto">
          <a:xfrm>
            <a:off x="147" y="3609"/>
            <a:ext cx="22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4" name="Rectangle 177">
            <a:extLst>
              <a:ext uri="{FF2B5EF4-FFF2-40B4-BE49-F238E27FC236}">
                <a16:creationId xmlns:a16="http://schemas.microsoft.com/office/drawing/2014/main" id="{00000000-0008-0000-0700-00007C000000}"/>
              </a:ext>
            </a:extLst>
          </xdr:cNvPr>
          <xdr:cNvSpPr>
            <a:spLocks noChangeArrowheads="1"/>
          </xdr:cNvSpPr>
        </xdr:nvSpPr>
        <xdr:spPr bwMode="auto">
          <a:xfrm>
            <a:off x="302" y="3609"/>
            <a:ext cx="22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" name="Rectangle 178">
            <a:extLst>
              <a:ext uri="{FF2B5EF4-FFF2-40B4-BE49-F238E27FC236}">
                <a16:creationId xmlns:a16="http://schemas.microsoft.com/office/drawing/2014/main" id="{00000000-0008-0000-0700-00007D000000}"/>
              </a:ext>
            </a:extLst>
          </xdr:cNvPr>
          <xdr:cNvSpPr>
            <a:spLocks noChangeArrowheads="1"/>
          </xdr:cNvSpPr>
        </xdr:nvSpPr>
        <xdr:spPr bwMode="auto">
          <a:xfrm>
            <a:off x="67" y="3854"/>
            <a:ext cx="336" cy="21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" name="Rectangle 179">
            <a:extLst>
              <a:ext uri="{FF2B5EF4-FFF2-40B4-BE49-F238E27FC236}">
                <a16:creationId xmlns:a16="http://schemas.microsoft.com/office/drawing/2014/main" id="{00000000-0008-0000-0700-00007E000000}"/>
              </a:ext>
            </a:extLst>
          </xdr:cNvPr>
          <xdr:cNvSpPr>
            <a:spLocks noChangeArrowheads="1"/>
          </xdr:cNvSpPr>
        </xdr:nvSpPr>
        <xdr:spPr bwMode="auto">
          <a:xfrm>
            <a:off x="67" y="3688"/>
            <a:ext cx="336" cy="20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7" name="Rectangle 180">
            <a:extLst>
              <a:ext uri="{FF2B5EF4-FFF2-40B4-BE49-F238E27FC236}">
                <a16:creationId xmlns:a16="http://schemas.microsoft.com/office/drawing/2014/main" id="{00000000-0008-0000-0700-00007F000000}"/>
              </a:ext>
            </a:extLst>
          </xdr:cNvPr>
          <xdr:cNvSpPr>
            <a:spLocks noChangeArrowheads="1"/>
          </xdr:cNvSpPr>
        </xdr:nvSpPr>
        <xdr:spPr bwMode="auto">
          <a:xfrm>
            <a:off x="207" y="3749"/>
            <a:ext cx="61" cy="62"/>
          </a:xfrm>
          <a:prstGeom prst="rect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8" name="Line 181">
            <a:extLst>
              <a:ext uri="{FF2B5EF4-FFF2-40B4-BE49-F238E27FC236}">
                <a16:creationId xmlns:a16="http://schemas.microsoft.com/office/drawing/2014/main" id="{00000000-0008-0000-0700-000080000000}"/>
              </a:ext>
            </a:extLst>
          </xdr:cNvPr>
          <xdr:cNvSpPr>
            <a:spLocks noChangeShapeType="1"/>
          </xdr:cNvSpPr>
        </xdr:nvSpPr>
        <xdr:spPr bwMode="auto">
          <a:xfrm>
            <a:off x="324" y="3875"/>
            <a:ext cx="8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9" name="Line 182">
            <a:extLst>
              <a:ext uri="{FF2B5EF4-FFF2-40B4-BE49-F238E27FC236}">
                <a16:creationId xmlns:a16="http://schemas.microsoft.com/office/drawing/2014/main" id="{00000000-0008-0000-0700-00008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24" y="3785"/>
            <a:ext cx="79" cy="7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Line 183">
            <a:extLst>
              <a:ext uri="{FF2B5EF4-FFF2-40B4-BE49-F238E27FC236}">
                <a16:creationId xmlns:a16="http://schemas.microsoft.com/office/drawing/2014/main" id="{00000000-0008-0000-0700-000082000000}"/>
              </a:ext>
            </a:extLst>
          </xdr:cNvPr>
          <xdr:cNvSpPr>
            <a:spLocks noChangeShapeType="1"/>
          </xdr:cNvSpPr>
        </xdr:nvSpPr>
        <xdr:spPr bwMode="auto">
          <a:xfrm>
            <a:off x="267" y="3811"/>
            <a:ext cx="36" cy="48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" name="Line 184">
            <a:extLst>
              <a:ext uri="{FF2B5EF4-FFF2-40B4-BE49-F238E27FC236}">
                <a16:creationId xmlns:a16="http://schemas.microsoft.com/office/drawing/2014/main" id="{00000000-0008-0000-0700-00008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47" y="3877"/>
            <a:ext cx="56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2" name="Line 185">
            <a:extLst>
              <a:ext uri="{FF2B5EF4-FFF2-40B4-BE49-F238E27FC236}">
                <a16:creationId xmlns:a16="http://schemas.microsoft.com/office/drawing/2014/main" id="{00000000-0008-0000-0700-000084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67" y="3709"/>
            <a:ext cx="34" cy="4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Line 186">
            <a:extLst>
              <a:ext uri="{FF2B5EF4-FFF2-40B4-BE49-F238E27FC236}">
                <a16:creationId xmlns:a16="http://schemas.microsoft.com/office/drawing/2014/main" id="{00000000-0008-0000-0700-000085000000}"/>
              </a:ext>
            </a:extLst>
          </xdr:cNvPr>
          <xdr:cNvSpPr>
            <a:spLocks noChangeShapeType="1"/>
          </xdr:cNvSpPr>
        </xdr:nvSpPr>
        <xdr:spPr bwMode="auto">
          <a:xfrm>
            <a:off x="324" y="3708"/>
            <a:ext cx="79" cy="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4" name="Line 187">
            <a:extLst>
              <a:ext uri="{FF2B5EF4-FFF2-40B4-BE49-F238E27FC236}">
                <a16:creationId xmlns:a16="http://schemas.microsoft.com/office/drawing/2014/main" id="{00000000-0008-0000-0700-00008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23" y="3608"/>
            <a:ext cx="8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5" name="Line 188">
            <a:extLst>
              <a:ext uri="{FF2B5EF4-FFF2-40B4-BE49-F238E27FC236}">
                <a16:creationId xmlns:a16="http://schemas.microsoft.com/office/drawing/2014/main" id="{00000000-0008-0000-0700-000087000000}"/>
              </a:ext>
            </a:extLst>
          </xdr:cNvPr>
          <xdr:cNvSpPr>
            <a:spLocks noChangeShapeType="1"/>
          </xdr:cNvSpPr>
        </xdr:nvSpPr>
        <xdr:spPr bwMode="auto">
          <a:xfrm>
            <a:off x="236" y="3609"/>
            <a:ext cx="67" cy="8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6" name="Line 189">
            <a:extLst>
              <a:ext uri="{FF2B5EF4-FFF2-40B4-BE49-F238E27FC236}">
                <a16:creationId xmlns:a16="http://schemas.microsoft.com/office/drawing/2014/main" id="{00000000-0008-0000-0700-000088000000}"/>
              </a:ext>
            </a:extLst>
          </xdr:cNvPr>
          <xdr:cNvSpPr>
            <a:spLocks noChangeShapeType="1"/>
          </xdr:cNvSpPr>
        </xdr:nvSpPr>
        <xdr:spPr bwMode="auto">
          <a:xfrm>
            <a:off x="541" y="3604"/>
            <a:ext cx="0" cy="3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7" name="Line 190">
            <a:extLst>
              <a:ext uri="{FF2B5EF4-FFF2-40B4-BE49-F238E27FC236}">
                <a16:creationId xmlns:a16="http://schemas.microsoft.com/office/drawing/2014/main" id="{00000000-0008-0000-0700-000089000000}"/>
              </a:ext>
            </a:extLst>
          </xdr:cNvPr>
          <xdr:cNvSpPr>
            <a:spLocks noChangeShapeType="1"/>
          </xdr:cNvSpPr>
        </xdr:nvSpPr>
        <xdr:spPr bwMode="auto">
          <a:xfrm>
            <a:off x="473" y="3958"/>
            <a:ext cx="7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191">
            <a:extLst>
              <a:ext uri="{FF2B5EF4-FFF2-40B4-BE49-F238E27FC236}">
                <a16:creationId xmlns:a16="http://schemas.microsoft.com/office/drawing/2014/main" id="{00000000-0008-0000-0700-00008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74" y="3865"/>
            <a:ext cx="66" cy="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Line 192">
            <a:extLst>
              <a:ext uri="{FF2B5EF4-FFF2-40B4-BE49-F238E27FC236}">
                <a16:creationId xmlns:a16="http://schemas.microsoft.com/office/drawing/2014/main" id="{00000000-0008-0000-0700-00008B000000}"/>
              </a:ext>
            </a:extLst>
          </xdr:cNvPr>
          <xdr:cNvSpPr>
            <a:spLocks noChangeShapeType="1"/>
          </xdr:cNvSpPr>
        </xdr:nvSpPr>
        <xdr:spPr bwMode="auto">
          <a:xfrm>
            <a:off x="471" y="3790"/>
            <a:ext cx="70" cy="7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0" name="Line 193">
            <a:extLst>
              <a:ext uri="{FF2B5EF4-FFF2-40B4-BE49-F238E27FC236}">
                <a16:creationId xmlns:a16="http://schemas.microsoft.com/office/drawing/2014/main" id="{00000000-0008-0000-0700-00008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70" y="3699"/>
            <a:ext cx="70" cy="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1" name="Line 194">
            <a:extLst>
              <a:ext uri="{FF2B5EF4-FFF2-40B4-BE49-F238E27FC236}">
                <a16:creationId xmlns:a16="http://schemas.microsoft.com/office/drawing/2014/main" id="{00000000-0008-0000-0700-00008D000000}"/>
              </a:ext>
            </a:extLst>
          </xdr:cNvPr>
          <xdr:cNvSpPr>
            <a:spLocks noChangeShapeType="1"/>
          </xdr:cNvSpPr>
        </xdr:nvSpPr>
        <xdr:spPr bwMode="auto">
          <a:xfrm>
            <a:off x="473" y="3604"/>
            <a:ext cx="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195">
            <a:extLst>
              <a:ext uri="{FF2B5EF4-FFF2-40B4-BE49-F238E27FC236}">
                <a16:creationId xmlns:a16="http://schemas.microsoft.com/office/drawing/2014/main" id="{00000000-0008-0000-0700-00008E000000}"/>
              </a:ext>
            </a:extLst>
          </xdr:cNvPr>
          <xdr:cNvSpPr>
            <a:spLocks noChangeShapeType="1"/>
          </xdr:cNvSpPr>
        </xdr:nvSpPr>
        <xdr:spPr bwMode="auto">
          <a:xfrm>
            <a:off x="473" y="3604"/>
            <a:ext cx="68" cy="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196">
            <a:extLst>
              <a:ext uri="{FF2B5EF4-FFF2-40B4-BE49-F238E27FC236}">
                <a16:creationId xmlns:a16="http://schemas.microsoft.com/office/drawing/2014/main" id="{00000000-0008-0000-0700-00008F000000}"/>
              </a:ext>
            </a:extLst>
          </xdr:cNvPr>
          <xdr:cNvSpPr>
            <a:spLocks noChangeShapeType="1"/>
          </xdr:cNvSpPr>
        </xdr:nvSpPr>
        <xdr:spPr bwMode="auto">
          <a:xfrm>
            <a:off x="471" y="3768"/>
            <a:ext cx="0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Rectangle 197">
            <a:extLst>
              <a:ext uri="{FF2B5EF4-FFF2-40B4-BE49-F238E27FC236}">
                <a16:creationId xmlns:a16="http://schemas.microsoft.com/office/drawing/2014/main" id="{00000000-0008-0000-0700-000090000000}"/>
              </a:ext>
            </a:extLst>
          </xdr:cNvPr>
          <xdr:cNvSpPr>
            <a:spLocks noChangeArrowheads="1"/>
          </xdr:cNvSpPr>
        </xdr:nvSpPr>
        <xdr:spPr bwMode="auto">
          <a:xfrm>
            <a:off x="139" y="3680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5" name="Rectangle 198">
            <a:extLst>
              <a:ext uri="{FF2B5EF4-FFF2-40B4-BE49-F238E27FC236}">
                <a16:creationId xmlns:a16="http://schemas.microsoft.com/office/drawing/2014/main" id="{00000000-0008-0000-0700-000091000000}"/>
              </a:ext>
            </a:extLst>
          </xdr:cNvPr>
          <xdr:cNvSpPr>
            <a:spLocks noChangeArrowheads="1"/>
          </xdr:cNvSpPr>
        </xdr:nvSpPr>
        <xdr:spPr bwMode="auto">
          <a:xfrm>
            <a:off x="294" y="3679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6" name="Rectangle 199">
            <a:extLst>
              <a:ext uri="{FF2B5EF4-FFF2-40B4-BE49-F238E27FC236}">
                <a16:creationId xmlns:a16="http://schemas.microsoft.com/office/drawing/2014/main" id="{00000000-0008-0000-0700-000092000000}"/>
              </a:ext>
            </a:extLst>
          </xdr:cNvPr>
          <xdr:cNvSpPr>
            <a:spLocks noChangeArrowheads="1"/>
          </xdr:cNvSpPr>
        </xdr:nvSpPr>
        <xdr:spPr bwMode="auto">
          <a:xfrm>
            <a:off x="292" y="3845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7" name="Rectangle 200">
            <a:extLst>
              <a:ext uri="{FF2B5EF4-FFF2-40B4-BE49-F238E27FC236}">
                <a16:creationId xmlns:a16="http://schemas.microsoft.com/office/drawing/2014/main" id="{00000000-0008-0000-0700-000093000000}"/>
              </a:ext>
            </a:extLst>
          </xdr:cNvPr>
          <xdr:cNvSpPr>
            <a:spLocks noChangeArrowheads="1"/>
          </xdr:cNvSpPr>
        </xdr:nvSpPr>
        <xdr:spPr bwMode="auto">
          <a:xfrm>
            <a:off x="139" y="3844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186</xdr:row>
      <xdr:rowOff>0</xdr:rowOff>
    </xdr:from>
    <xdr:to>
      <xdr:col>9</xdr:col>
      <xdr:colOff>9525</xdr:colOff>
      <xdr:row>186</xdr:row>
      <xdr:rowOff>0</xdr:rowOff>
    </xdr:to>
    <xdr:grpSp>
      <xdr:nvGrpSpPr>
        <xdr:cNvPr id="148" name="Group 201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GrpSpPr>
          <a:grpSpLocks/>
        </xdr:cNvGrpSpPr>
      </xdr:nvGrpSpPr>
      <xdr:grpSpPr bwMode="auto">
        <a:xfrm>
          <a:off x="762000" y="36122429"/>
          <a:ext cx="5651954" cy="0"/>
          <a:chOff x="68" y="2526"/>
          <a:chExt cx="446" cy="100"/>
        </a:xfrm>
      </xdr:grpSpPr>
      <xdr:sp macro="" textlink="">
        <xdr:nvSpPr>
          <xdr:cNvPr id="149" name="Line 202">
            <a:extLst>
              <a:ext uri="{FF2B5EF4-FFF2-40B4-BE49-F238E27FC236}">
                <a16:creationId xmlns:a16="http://schemas.microsoft.com/office/drawing/2014/main" id="{00000000-0008-0000-0700-000095000000}"/>
              </a:ext>
            </a:extLst>
          </xdr:cNvPr>
          <xdr:cNvSpPr>
            <a:spLocks noChangeShapeType="1"/>
          </xdr:cNvSpPr>
        </xdr:nvSpPr>
        <xdr:spPr bwMode="auto">
          <a:xfrm>
            <a:off x="69" y="2564"/>
            <a:ext cx="44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0" name="Line 203">
            <a:extLst>
              <a:ext uri="{FF2B5EF4-FFF2-40B4-BE49-F238E27FC236}">
                <a16:creationId xmlns:a16="http://schemas.microsoft.com/office/drawing/2014/main" id="{00000000-0008-0000-0700-000096000000}"/>
              </a:ext>
            </a:extLst>
          </xdr:cNvPr>
          <xdr:cNvSpPr>
            <a:spLocks noChangeShapeType="1"/>
          </xdr:cNvSpPr>
        </xdr:nvSpPr>
        <xdr:spPr bwMode="auto">
          <a:xfrm>
            <a:off x="69" y="2547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1" name="Line 204">
            <a:extLst>
              <a:ext uri="{FF2B5EF4-FFF2-40B4-BE49-F238E27FC236}">
                <a16:creationId xmlns:a16="http://schemas.microsoft.com/office/drawing/2014/main" id="{00000000-0008-0000-0700-000097000000}"/>
              </a:ext>
            </a:extLst>
          </xdr:cNvPr>
          <xdr:cNvSpPr>
            <a:spLocks noChangeShapeType="1"/>
          </xdr:cNvSpPr>
        </xdr:nvSpPr>
        <xdr:spPr bwMode="auto">
          <a:xfrm>
            <a:off x="513" y="256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2" name="Line 205">
            <a:extLst>
              <a:ext uri="{FF2B5EF4-FFF2-40B4-BE49-F238E27FC236}">
                <a16:creationId xmlns:a16="http://schemas.microsoft.com/office/drawing/2014/main" id="{00000000-0008-0000-0700-000098000000}"/>
              </a:ext>
            </a:extLst>
          </xdr:cNvPr>
          <xdr:cNvSpPr>
            <a:spLocks noChangeShapeType="1"/>
          </xdr:cNvSpPr>
        </xdr:nvSpPr>
        <xdr:spPr bwMode="auto">
          <a:xfrm>
            <a:off x="70" y="2546"/>
            <a:ext cx="442" cy="4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Line 206">
            <a:extLst>
              <a:ext uri="{FF2B5EF4-FFF2-40B4-BE49-F238E27FC236}">
                <a16:creationId xmlns:a16="http://schemas.microsoft.com/office/drawing/2014/main" id="{00000000-0008-0000-0700-000099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2555"/>
            <a:ext cx="0" cy="1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Line 207">
            <a:extLst>
              <a:ext uri="{FF2B5EF4-FFF2-40B4-BE49-F238E27FC236}">
                <a16:creationId xmlns:a16="http://schemas.microsoft.com/office/drawing/2014/main" id="{00000000-0008-0000-0700-00009A000000}"/>
              </a:ext>
            </a:extLst>
          </xdr:cNvPr>
          <xdr:cNvSpPr>
            <a:spLocks noChangeShapeType="1"/>
          </xdr:cNvSpPr>
        </xdr:nvSpPr>
        <xdr:spPr bwMode="auto">
          <a:xfrm>
            <a:off x="158" y="2556"/>
            <a:ext cx="0" cy="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Line 208">
            <a:extLst>
              <a:ext uri="{FF2B5EF4-FFF2-40B4-BE49-F238E27FC236}">
                <a16:creationId xmlns:a16="http://schemas.microsoft.com/office/drawing/2014/main" id="{00000000-0008-0000-0700-00009B000000}"/>
              </a:ext>
            </a:extLst>
          </xdr:cNvPr>
          <xdr:cNvSpPr>
            <a:spLocks noChangeShapeType="1"/>
          </xdr:cNvSpPr>
        </xdr:nvSpPr>
        <xdr:spPr bwMode="auto">
          <a:xfrm>
            <a:off x="391" y="2563"/>
            <a:ext cx="0" cy="17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209">
            <a:extLst>
              <a:ext uri="{FF2B5EF4-FFF2-40B4-BE49-F238E27FC236}">
                <a16:creationId xmlns:a16="http://schemas.microsoft.com/office/drawing/2014/main" id="{00000000-0008-0000-0700-00009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4" y="2563"/>
            <a:ext cx="1" cy="21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210">
            <a:extLst>
              <a:ext uri="{FF2B5EF4-FFF2-40B4-BE49-F238E27FC236}">
                <a16:creationId xmlns:a16="http://schemas.microsoft.com/office/drawing/2014/main" id="{00000000-0008-0000-0700-00009D000000}"/>
              </a:ext>
            </a:extLst>
          </xdr:cNvPr>
          <xdr:cNvSpPr>
            <a:spLocks noChangeShapeType="1"/>
          </xdr:cNvSpPr>
        </xdr:nvSpPr>
        <xdr:spPr bwMode="auto">
          <a:xfrm>
            <a:off x="288" y="2526"/>
            <a:ext cx="0" cy="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211">
            <a:extLst>
              <a:ext uri="{FF2B5EF4-FFF2-40B4-BE49-F238E27FC236}">
                <a16:creationId xmlns:a16="http://schemas.microsoft.com/office/drawing/2014/main" id="{00000000-0008-0000-0700-00009E000000}"/>
              </a:ext>
            </a:extLst>
          </xdr:cNvPr>
          <xdr:cNvSpPr>
            <a:spLocks noChangeShapeType="1"/>
          </xdr:cNvSpPr>
        </xdr:nvSpPr>
        <xdr:spPr bwMode="auto">
          <a:xfrm>
            <a:off x="68" y="2626"/>
            <a:ext cx="4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212">
            <a:extLst>
              <a:ext uri="{FF2B5EF4-FFF2-40B4-BE49-F238E27FC236}">
                <a16:creationId xmlns:a16="http://schemas.microsoft.com/office/drawing/2014/main" id="{00000000-0008-0000-0700-00009F000000}"/>
              </a:ext>
            </a:extLst>
          </xdr:cNvPr>
          <xdr:cNvSpPr>
            <a:spLocks noChangeShapeType="1"/>
          </xdr:cNvSpPr>
        </xdr:nvSpPr>
        <xdr:spPr bwMode="auto">
          <a:xfrm>
            <a:off x="227" y="2609"/>
            <a:ext cx="28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213">
            <a:extLst>
              <a:ext uri="{FF2B5EF4-FFF2-40B4-BE49-F238E27FC236}">
                <a16:creationId xmlns:a16="http://schemas.microsoft.com/office/drawing/2014/main" id="{00000000-0008-0000-0700-0000A0000000}"/>
              </a:ext>
            </a:extLst>
          </xdr:cNvPr>
          <xdr:cNvSpPr>
            <a:spLocks noChangeShapeType="1"/>
          </xdr:cNvSpPr>
        </xdr:nvSpPr>
        <xdr:spPr bwMode="auto">
          <a:xfrm>
            <a:off x="227" y="2594"/>
            <a:ext cx="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609600</xdr:colOff>
          <xdr:row>448</xdr:row>
          <xdr:rowOff>146050</xdr:rowOff>
        </xdr:from>
        <xdr:to>
          <xdr:col>1</xdr:col>
          <xdr:colOff>609600</xdr:colOff>
          <xdr:row>450</xdr:row>
          <xdr:rowOff>19050</xdr:rowOff>
        </xdr:to>
        <xdr:sp macro="" textlink="">
          <xdr:nvSpPr>
            <xdr:cNvPr id="499713" name="Object 1" hidden="1">
              <a:extLst>
                <a:ext uri="{63B3BB69-23CF-44E3-9099-C40C66FF867C}">
                  <a14:compatExt spid="_x0000_s499713"/>
                </a:ext>
                <a:ext uri="{FF2B5EF4-FFF2-40B4-BE49-F238E27FC236}">
                  <a16:creationId xmlns:a16="http://schemas.microsoft.com/office/drawing/2014/main" id="{00000000-0008-0000-0200-000001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448</xdr:row>
          <xdr:rowOff>107950</xdr:rowOff>
        </xdr:from>
        <xdr:to>
          <xdr:col>5</xdr:col>
          <xdr:colOff>146050</xdr:colOff>
          <xdr:row>449</xdr:row>
          <xdr:rowOff>209550</xdr:rowOff>
        </xdr:to>
        <xdr:sp macro="" textlink="">
          <xdr:nvSpPr>
            <xdr:cNvPr id="499714" name="Object 2" hidden="1">
              <a:extLst>
                <a:ext uri="{63B3BB69-23CF-44E3-9099-C40C66FF867C}">
                  <a14:compatExt spid="_x0000_s499714"/>
                </a:ext>
                <a:ext uri="{FF2B5EF4-FFF2-40B4-BE49-F238E27FC236}">
                  <a16:creationId xmlns:a16="http://schemas.microsoft.com/office/drawing/2014/main" id="{00000000-0008-0000-0200-000002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448</xdr:row>
          <xdr:rowOff>107950</xdr:rowOff>
        </xdr:from>
        <xdr:to>
          <xdr:col>5</xdr:col>
          <xdr:colOff>247650</xdr:colOff>
          <xdr:row>449</xdr:row>
          <xdr:rowOff>165100</xdr:rowOff>
        </xdr:to>
        <xdr:sp macro="" textlink="">
          <xdr:nvSpPr>
            <xdr:cNvPr id="499715" name="Object 3" hidden="1">
              <a:extLst>
                <a:ext uri="{63B3BB69-23CF-44E3-9099-C40C66FF867C}">
                  <a14:compatExt spid="_x0000_s499715"/>
                </a:ext>
                <a:ext uri="{FF2B5EF4-FFF2-40B4-BE49-F238E27FC236}">
                  <a16:creationId xmlns:a16="http://schemas.microsoft.com/office/drawing/2014/main" id="{00000000-0008-0000-0200-000003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448</xdr:row>
          <xdr:rowOff>146050</xdr:rowOff>
        </xdr:from>
        <xdr:to>
          <xdr:col>6</xdr:col>
          <xdr:colOff>50800</xdr:colOff>
          <xdr:row>449</xdr:row>
          <xdr:rowOff>203200</xdr:rowOff>
        </xdr:to>
        <xdr:sp macro="" textlink="">
          <xdr:nvSpPr>
            <xdr:cNvPr id="499716" name="Object 4" hidden="1">
              <a:extLst>
                <a:ext uri="{63B3BB69-23CF-44E3-9099-C40C66FF867C}">
                  <a14:compatExt spid="_x0000_s499716"/>
                </a:ext>
                <a:ext uri="{FF2B5EF4-FFF2-40B4-BE49-F238E27FC236}">
                  <a16:creationId xmlns:a16="http://schemas.microsoft.com/office/drawing/2014/main" id="{00000000-0008-0000-0200-000004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209550</xdr:colOff>
          <xdr:row>448</xdr:row>
          <xdr:rowOff>88900</xdr:rowOff>
        </xdr:from>
        <xdr:to>
          <xdr:col>3</xdr:col>
          <xdr:colOff>361950</xdr:colOff>
          <xdr:row>450</xdr:row>
          <xdr:rowOff>95250</xdr:rowOff>
        </xdr:to>
        <xdr:sp macro="" textlink="">
          <xdr:nvSpPr>
            <xdr:cNvPr id="499717" name="Object 5" hidden="1">
              <a:extLst>
                <a:ext uri="{63B3BB69-23CF-44E3-9099-C40C66FF867C}">
                  <a14:compatExt spid="_x0000_s499717"/>
                </a:ext>
                <a:ext uri="{FF2B5EF4-FFF2-40B4-BE49-F238E27FC236}">
                  <a16:creationId xmlns:a16="http://schemas.microsoft.com/office/drawing/2014/main" id="{00000000-0008-0000-0200-000005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449</xdr:row>
          <xdr:rowOff>19050</xdr:rowOff>
        </xdr:from>
        <xdr:to>
          <xdr:col>3</xdr:col>
          <xdr:colOff>190500</xdr:colOff>
          <xdr:row>450</xdr:row>
          <xdr:rowOff>165100</xdr:rowOff>
        </xdr:to>
        <xdr:sp macro="" textlink="">
          <xdr:nvSpPr>
            <xdr:cNvPr id="499718" name="Object 6" hidden="1">
              <a:extLst>
                <a:ext uri="{63B3BB69-23CF-44E3-9099-C40C66FF867C}">
                  <a14:compatExt spid="_x0000_s499718"/>
                </a:ext>
                <a:ext uri="{FF2B5EF4-FFF2-40B4-BE49-F238E27FC236}">
                  <a16:creationId xmlns:a16="http://schemas.microsoft.com/office/drawing/2014/main" id="{00000000-0008-0000-0200-000006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448</xdr:row>
          <xdr:rowOff>133350</xdr:rowOff>
        </xdr:from>
        <xdr:to>
          <xdr:col>2</xdr:col>
          <xdr:colOff>304800</xdr:colOff>
          <xdr:row>450</xdr:row>
          <xdr:rowOff>31750</xdr:rowOff>
        </xdr:to>
        <xdr:sp macro="" textlink="">
          <xdr:nvSpPr>
            <xdr:cNvPr id="499719" name="Object 7" hidden="1">
              <a:extLst>
                <a:ext uri="{63B3BB69-23CF-44E3-9099-C40C66FF867C}">
                  <a14:compatExt spid="_x0000_s499719"/>
                </a:ext>
                <a:ext uri="{FF2B5EF4-FFF2-40B4-BE49-F238E27FC236}">
                  <a16:creationId xmlns:a16="http://schemas.microsoft.com/office/drawing/2014/main" id="{00000000-0008-0000-0200-000007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448</xdr:row>
          <xdr:rowOff>88900</xdr:rowOff>
        </xdr:from>
        <xdr:to>
          <xdr:col>4</xdr:col>
          <xdr:colOff>666750</xdr:colOff>
          <xdr:row>449</xdr:row>
          <xdr:rowOff>203200</xdr:rowOff>
        </xdr:to>
        <xdr:sp macro="" textlink="">
          <xdr:nvSpPr>
            <xdr:cNvPr id="499720" name="Object 8" hidden="1">
              <a:extLst>
                <a:ext uri="{63B3BB69-23CF-44E3-9099-C40C66FF867C}">
                  <a14:compatExt spid="_x0000_s499720"/>
                </a:ext>
                <a:ext uri="{FF2B5EF4-FFF2-40B4-BE49-F238E27FC236}">
                  <a16:creationId xmlns:a16="http://schemas.microsoft.com/office/drawing/2014/main" id="{00000000-0008-0000-0200-000008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508000</xdr:colOff>
          <xdr:row>449</xdr:row>
          <xdr:rowOff>31750</xdr:rowOff>
        </xdr:from>
        <xdr:to>
          <xdr:col>4</xdr:col>
          <xdr:colOff>660400</xdr:colOff>
          <xdr:row>450</xdr:row>
          <xdr:rowOff>88900</xdr:rowOff>
        </xdr:to>
        <xdr:sp macro="" textlink="">
          <xdr:nvSpPr>
            <xdr:cNvPr id="499721" name="Object 9" hidden="1">
              <a:extLst>
                <a:ext uri="{63B3BB69-23CF-44E3-9099-C40C66FF867C}">
                  <a14:compatExt spid="_x0000_s499721"/>
                </a:ext>
                <a:ext uri="{FF2B5EF4-FFF2-40B4-BE49-F238E27FC236}">
                  <a16:creationId xmlns:a16="http://schemas.microsoft.com/office/drawing/2014/main" id="{00000000-0008-0000-0200-000009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448</xdr:row>
          <xdr:rowOff>127000</xdr:rowOff>
        </xdr:from>
        <xdr:to>
          <xdr:col>2</xdr:col>
          <xdr:colOff>304800</xdr:colOff>
          <xdr:row>450</xdr:row>
          <xdr:rowOff>19050</xdr:rowOff>
        </xdr:to>
        <xdr:sp macro="" textlink="">
          <xdr:nvSpPr>
            <xdr:cNvPr id="499722" name="Object 10" hidden="1">
              <a:extLst>
                <a:ext uri="{63B3BB69-23CF-44E3-9099-C40C66FF867C}">
                  <a14:compatExt spid="_x0000_s499722"/>
                </a:ext>
                <a:ext uri="{FF2B5EF4-FFF2-40B4-BE49-F238E27FC236}">
                  <a16:creationId xmlns:a16="http://schemas.microsoft.com/office/drawing/2014/main" id="{00000000-0008-0000-0200-00000A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448</xdr:row>
          <xdr:rowOff>165100</xdr:rowOff>
        </xdr:from>
        <xdr:to>
          <xdr:col>6</xdr:col>
          <xdr:colOff>88900</xdr:colOff>
          <xdr:row>449</xdr:row>
          <xdr:rowOff>209550</xdr:rowOff>
        </xdr:to>
        <xdr:sp macro="" textlink="">
          <xdr:nvSpPr>
            <xdr:cNvPr id="499723" name="Object 11" hidden="1">
              <a:extLst>
                <a:ext uri="{63B3BB69-23CF-44E3-9099-C40C66FF867C}">
                  <a14:compatExt spid="_x0000_s499723"/>
                </a:ext>
                <a:ext uri="{FF2B5EF4-FFF2-40B4-BE49-F238E27FC236}">
                  <a16:creationId xmlns:a16="http://schemas.microsoft.com/office/drawing/2014/main" id="{00000000-0008-0000-0200-00000B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431800</xdr:colOff>
          <xdr:row>312</xdr:row>
          <xdr:rowOff>31750</xdr:rowOff>
        </xdr:from>
        <xdr:to>
          <xdr:col>3</xdr:col>
          <xdr:colOff>628650</xdr:colOff>
          <xdr:row>314</xdr:row>
          <xdr:rowOff>114300</xdr:rowOff>
        </xdr:to>
        <xdr:sp macro="" textlink="">
          <xdr:nvSpPr>
            <xdr:cNvPr id="499724" name="Object 12" hidden="1">
              <a:extLst>
                <a:ext uri="{63B3BB69-23CF-44E3-9099-C40C66FF867C}">
                  <a14:compatExt spid="_x0000_s499724"/>
                </a:ext>
                <a:ext uri="{FF2B5EF4-FFF2-40B4-BE49-F238E27FC236}">
                  <a16:creationId xmlns:a16="http://schemas.microsoft.com/office/drawing/2014/main" id="{00000000-0008-0000-0200-00000C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38100</xdr:colOff>
          <xdr:row>314</xdr:row>
          <xdr:rowOff>114300</xdr:rowOff>
        </xdr:from>
        <xdr:to>
          <xdr:col>3</xdr:col>
          <xdr:colOff>704850</xdr:colOff>
          <xdr:row>316</xdr:row>
          <xdr:rowOff>50800</xdr:rowOff>
        </xdr:to>
        <xdr:sp macro="" textlink="">
          <xdr:nvSpPr>
            <xdr:cNvPr id="499725" name="Object 13" hidden="1">
              <a:extLst>
                <a:ext uri="{63B3BB69-23CF-44E3-9099-C40C66FF867C}">
                  <a14:compatExt spid="_x0000_s499725"/>
                </a:ext>
                <a:ext uri="{FF2B5EF4-FFF2-40B4-BE49-F238E27FC236}">
                  <a16:creationId xmlns:a16="http://schemas.microsoft.com/office/drawing/2014/main" id="{00000000-0008-0000-0200-00000D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</xdr:colOff>
          <xdr:row>448</xdr:row>
          <xdr:rowOff>69850</xdr:rowOff>
        </xdr:from>
        <xdr:to>
          <xdr:col>10</xdr:col>
          <xdr:colOff>336550</xdr:colOff>
          <xdr:row>453</xdr:row>
          <xdr:rowOff>107950</xdr:rowOff>
        </xdr:to>
        <xdr:sp macro="" textlink="">
          <xdr:nvSpPr>
            <xdr:cNvPr id="499726" name="Object 14" hidden="1">
              <a:extLst>
                <a:ext uri="{63B3BB69-23CF-44E3-9099-C40C66FF867C}">
                  <a14:compatExt spid="_x0000_s499726"/>
                </a:ext>
                <a:ext uri="{FF2B5EF4-FFF2-40B4-BE49-F238E27FC236}">
                  <a16:creationId xmlns:a16="http://schemas.microsoft.com/office/drawing/2014/main" id="{00000000-0008-0000-0200-00000E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448</xdr:row>
          <xdr:rowOff>69850</xdr:rowOff>
        </xdr:from>
        <xdr:to>
          <xdr:col>9</xdr:col>
          <xdr:colOff>469900</xdr:colOff>
          <xdr:row>453</xdr:row>
          <xdr:rowOff>88900</xdr:rowOff>
        </xdr:to>
        <xdr:sp macro="" textlink="">
          <xdr:nvSpPr>
            <xdr:cNvPr id="499727" name="Object 15" hidden="1">
              <a:extLst>
                <a:ext uri="{63B3BB69-23CF-44E3-9099-C40C66FF867C}">
                  <a14:compatExt spid="_x0000_s499727"/>
                </a:ext>
                <a:ext uri="{FF2B5EF4-FFF2-40B4-BE49-F238E27FC236}">
                  <a16:creationId xmlns:a16="http://schemas.microsoft.com/office/drawing/2014/main" id="{00000000-0008-0000-0200-00000F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123577</xdr:colOff>
      <xdr:row>142</xdr:row>
      <xdr:rowOff>182215</xdr:rowOff>
    </xdr:from>
    <xdr:to>
      <xdr:col>9</xdr:col>
      <xdr:colOff>66997</xdr:colOff>
      <xdr:row>144</xdr:row>
      <xdr:rowOff>92350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1" name="Object 21">
              <a:extLst>
                <a:ext uri="{FF2B5EF4-FFF2-40B4-BE49-F238E27FC236}">
                  <a16:creationId xmlns:a16="http://schemas.microsoft.com/office/drawing/2014/main" id="{00000000-0008-0000-0700-0000A1000000}"/>
                </a:ext>
              </a:extLst>
            </xdr:cNvPr>
            <xdr:cNvSpPr txBox="1"/>
          </xdr:nvSpPr>
          <xdr:spPr>
            <a:xfrm>
              <a:off x="6105277" y="30081190"/>
              <a:ext cx="686370" cy="462584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e>
                    </m:nary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61" name="Object 21">
              <a:extLst>
                <a:ext uri="{FF2B5EF4-FFF2-40B4-BE49-F238E27FC236}">
                  <a16:creationId xmlns:a16="http://schemas.microsoft.com/office/drawing/2014/main" id="{C938E540-A68A-41E7-ADEC-E2BEFF105E0B}"/>
                </a:ext>
              </a:extLst>
            </xdr:cNvPr>
            <xdr:cNvSpPr txBox="1"/>
          </xdr:nvSpPr>
          <xdr:spPr>
            <a:xfrm>
              <a:off x="6105277" y="30081190"/>
              <a:ext cx="686370" cy="462584"/>
            </a:xfrm>
            <a:prstGeom prst="rect">
              <a:avLst/>
            </a:prstGeom>
          </xdr:spPr>
          <xdr:txBody>
            <a:bodyPr vertOverflow="clip" horzOverflow="clip" wrap="square">
              <a:no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∑▒𝑃_𝑎 =</a:t>
              </a:r>
              <a:endParaRPr lang="en-US"/>
            </a:p>
          </xdr:txBody>
        </xdr:sp>
      </mc:Fallback>
    </mc:AlternateContent>
    <xdr:clientData/>
  </xdr:twoCellAnchor>
  <xdr:twoCellAnchor editAs="oneCell">
    <xdr:from>
      <xdr:col>8</xdr:col>
      <xdr:colOff>136331</xdr:colOff>
      <xdr:row>144</xdr:row>
      <xdr:rowOff>248478</xdr:rowOff>
    </xdr:from>
    <xdr:to>
      <xdr:col>9</xdr:col>
      <xdr:colOff>68985</xdr:colOff>
      <xdr:row>146</xdr:row>
      <xdr:rowOff>135172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2" name="Object 23">
              <a:extLst>
                <a:ext uri="{FF2B5EF4-FFF2-40B4-BE49-F238E27FC236}">
                  <a16:creationId xmlns:a16="http://schemas.microsoft.com/office/drawing/2014/main" id="{00000000-0008-0000-0700-0000A2000000}"/>
                </a:ext>
              </a:extLst>
            </xdr:cNvPr>
            <xdr:cNvSpPr txBox="1"/>
          </xdr:nvSpPr>
          <xdr:spPr>
            <a:xfrm>
              <a:off x="6118031" y="30699903"/>
              <a:ext cx="675604" cy="43914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nary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62" name="Object 23">
              <a:extLst>
                <a:ext uri="{FF2B5EF4-FFF2-40B4-BE49-F238E27FC236}">
                  <a16:creationId xmlns:a16="http://schemas.microsoft.com/office/drawing/2014/main" id="{018FC386-217E-4C68-9CE4-A9ABB08308AB}"/>
                </a:ext>
              </a:extLst>
            </xdr:cNvPr>
            <xdr:cNvSpPr txBox="1"/>
          </xdr:nvSpPr>
          <xdr:spPr>
            <a:xfrm>
              <a:off x="6118031" y="30699903"/>
              <a:ext cx="675604" cy="439144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∑▒𝑃_𝑝 =</a:t>
              </a:r>
              <a:endParaRPr lang="en-US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31750</xdr:colOff>
          <xdr:row>147</xdr:row>
          <xdr:rowOff>50800</xdr:rowOff>
        </xdr:from>
        <xdr:to>
          <xdr:col>4</xdr:col>
          <xdr:colOff>247650</xdr:colOff>
          <xdr:row>148</xdr:row>
          <xdr:rowOff>38100</xdr:rowOff>
        </xdr:to>
        <xdr:sp macro="" textlink="">
          <xdr:nvSpPr>
            <xdr:cNvPr id="499728" name="Object 16" hidden="1">
              <a:extLst>
                <a:ext uri="{63B3BB69-23CF-44E3-9099-C40C66FF867C}">
                  <a14:compatExt spid="_x0000_s499728"/>
                </a:ext>
                <a:ext uri="{FF2B5EF4-FFF2-40B4-BE49-F238E27FC236}">
                  <a16:creationId xmlns:a16="http://schemas.microsoft.com/office/drawing/2014/main" id="{00000000-0008-0000-0200-000010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153</xdr:row>
          <xdr:rowOff>0</xdr:rowOff>
        </xdr:from>
        <xdr:to>
          <xdr:col>3</xdr:col>
          <xdr:colOff>628650</xdr:colOff>
          <xdr:row>154</xdr:row>
          <xdr:rowOff>184150</xdr:rowOff>
        </xdr:to>
        <xdr:sp macro="" textlink="">
          <xdr:nvSpPr>
            <xdr:cNvPr id="499729" name="Object 17" hidden="1">
              <a:extLst>
                <a:ext uri="{63B3BB69-23CF-44E3-9099-C40C66FF867C}">
                  <a14:compatExt spid="_x0000_s499729"/>
                </a:ext>
                <a:ext uri="{FF2B5EF4-FFF2-40B4-BE49-F238E27FC236}">
                  <a16:creationId xmlns:a16="http://schemas.microsoft.com/office/drawing/2014/main" id="{00000000-0008-0000-0200-000011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508000</xdr:colOff>
          <xdr:row>141</xdr:row>
          <xdr:rowOff>203200</xdr:rowOff>
        </xdr:from>
        <xdr:to>
          <xdr:col>7</xdr:col>
          <xdr:colOff>114300</xdr:colOff>
          <xdr:row>143</xdr:row>
          <xdr:rowOff>19050</xdr:rowOff>
        </xdr:to>
        <xdr:sp macro="" textlink="">
          <xdr:nvSpPr>
            <xdr:cNvPr id="499730" name="Object 18" hidden="1">
              <a:extLst>
                <a:ext uri="{63B3BB69-23CF-44E3-9099-C40C66FF867C}">
                  <a14:compatExt spid="_x0000_s499730"/>
                </a:ext>
                <a:ext uri="{FF2B5EF4-FFF2-40B4-BE49-F238E27FC236}">
                  <a16:creationId xmlns:a16="http://schemas.microsoft.com/office/drawing/2014/main" id="{00000000-0008-0000-0200-000012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603250</xdr:colOff>
          <xdr:row>142</xdr:row>
          <xdr:rowOff>247650</xdr:rowOff>
        </xdr:from>
        <xdr:to>
          <xdr:col>5</xdr:col>
          <xdr:colOff>50800</xdr:colOff>
          <xdr:row>144</xdr:row>
          <xdr:rowOff>88900</xdr:rowOff>
        </xdr:to>
        <xdr:sp macro="" textlink="">
          <xdr:nvSpPr>
            <xdr:cNvPr id="499731" name="Object 19" hidden="1">
              <a:extLst>
                <a:ext uri="{63B3BB69-23CF-44E3-9099-C40C66FF867C}">
                  <a14:compatExt spid="_x0000_s499731"/>
                </a:ext>
                <a:ext uri="{FF2B5EF4-FFF2-40B4-BE49-F238E27FC236}">
                  <a16:creationId xmlns:a16="http://schemas.microsoft.com/office/drawing/2014/main" id="{00000000-0008-0000-0200-000013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508000</xdr:colOff>
          <xdr:row>143</xdr:row>
          <xdr:rowOff>273050</xdr:rowOff>
        </xdr:from>
        <xdr:to>
          <xdr:col>7</xdr:col>
          <xdr:colOff>139700</xdr:colOff>
          <xdr:row>145</xdr:row>
          <xdr:rowOff>69850</xdr:rowOff>
        </xdr:to>
        <xdr:sp macro="" textlink="">
          <xdr:nvSpPr>
            <xdr:cNvPr id="499732" name="Object 20" hidden="1">
              <a:extLst>
                <a:ext uri="{63B3BB69-23CF-44E3-9099-C40C66FF867C}">
                  <a14:compatExt spid="_x0000_s499732"/>
                </a:ext>
                <a:ext uri="{FF2B5EF4-FFF2-40B4-BE49-F238E27FC236}">
                  <a16:creationId xmlns:a16="http://schemas.microsoft.com/office/drawing/2014/main" id="{00000000-0008-0000-0200-000014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622300</xdr:colOff>
          <xdr:row>144</xdr:row>
          <xdr:rowOff>336550</xdr:rowOff>
        </xdr:from>
        <xdr:to>
          <xdr:col>5</xdr:col>
          <xdr:colOff>19050</xdr:colOff>
          <xdr:row>146</xdr:row>
          <xdr:rowOff>31750</xdr:rowOff>
        </xdr:to>
        <xdr:sp macro="" textlink="">
          <xdr:nvSpPr>
            <xdr:cNvPr id="499733" name="Object 21" hidden="1">
              <a:extLst>
                <a:ext uri="{63B3BB69-23CF-44E3-9099-C40C66FF867C}">
                  <a14:compatExt spid="_x0000_s499733"/>
                </a:ext>
                <a:ext uri="{FF2B5EF4-FFF2-40B4-BE49-F238E27FC236}">
                  <a16:creationId xmlns:a16="http://schemas.microsoft.com/office/drawing/2014/main" id="{00000000-0008-0000-0200-000015A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323753</xdr:colOff>
      <xdr:row>4</xdr:row>
      <xdr:rowOff>0</xdr:rowOff>
    </xdr:from>
    <xdr:to>
      <xdr:col>6</xdr:col>
      <xdr:colOff>798980</xdr:colOff>
      <xdr:row>27</xdr:row>
      <xdr:rowOff>2394</xdr:rowOff>
    </xdr:to>
    <xdr:grpSp>
      <xdr:nvGrpSpPr>
        <xdr:cNvPr id="163" name="Nhóm 162">
          <a:extLst>
            <a:ext uri="{FF2B5EF4-FFF2-40B4-BE49-F238E27FC236}">
              <a16:creationId xmlns:a16="http://schemas.microsoft.com/office/drawing/2014/main" id="{4351196E-86B1-4F00-8648-B447A1EA9867}"/>
            </a:ext>
          </a:extLst>
        </xdr:cNvPr>
        <xdr:cNvGrpSpPr/>
      </xdr:nvGrpSpPr>
      <xdr:grpSpPr>
        <a:xfrm>
          <a:off x="1085753" y="979714"/>
          <a:ext cx="3930534" cy="5390823"/>
          <a:chOff x="782669" y="892630"/>
          <a:chExt cx="4684527" cy="5551021"/>
        </a:xfrm>
      </xdr:grpSpPr>
      <xdr:cxnSp macro="">
        <xdr:nvCxnSpPr>
          <xdr:cNvPr id="164" name="Straight Connector 111">
            <a:extLst>
              <a:ext uri="{FF2B5EF4-FFF2-40B4-BE49-F238E27FC236}">
                <a16:creationId xmlns:a16="http://schemas.microsoft.com/office/drawing/2014/main" id="{C02EA9BA-D45B-7C7F-1462-7DA1E600EC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355512" y="2505704"/>
            <a:ext cx="60511" cy="1334"/>
          </a:xfrm>
          <a:prstGeom prst="line">
            <a:avLst/>
          </a:prstGeom>
          <a:noFill/>
          <a:ln w="158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65" name="Straight Connector 111">
            <a:extLst>
              <a:ext uri="{FF2B5EF4-FFF2-40B4-BE49-F238E27FC236}">
                <a16:creationId xmlns:a16="http://schemas.microsoft.com/office/drawing/2014/main" id="{5E83737C-5D40-377E-D148-C27034F8AA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394821" y="2531637"/>
            <a:ext cx="60511" cy="1334"/>
          </a:xfrm>
          <a:prstGeom prst="line">
            <a:avLst/>
          </a:prstGeom>
          <a:noFill/>
          <a:ln w="158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66" name="Nhóm 165">
            <a:extLst>
              <a:ext uri="{FF2B5EF4-FFF2-40B4-BE49-F238E27FC236}">
                <a16:creationId xmlns:a16="http://schemas.microsoft.com/office/drawing/2014/main" id="{DCE5B560-A695-C820-4980-3F6220A9B546}"/>
              </a:ext>
            </a:extLst>
          </xdr:cNvPr>
          <xdr:cNvGrpSpPr/>
        </xdr:nvGrpSpPr>
        <xdr:grpSpPr>
          <a:xfrm>
            <a:off x="782669" y="892630"/>
            <a:ext cx="4684527" cy="5551021"/>
            <a:chOff x="831955" y="1021762"/>
            <a:chExt cx="4685028" cy="5556466"/>
          </a:xfrm>
        </xdr:grpSpPr>
        <xdr:sp macro="" textlink="">
          <xdr:nvSpPr>
            <xdr:cNvPr id="167" name="TextBox 29">
              <a:extLst>
                <a:ext uri="{FF2B5EF4-FFF2-40B4-BE49-F238E27FC236}">
                  <a16:creationId xmlns:a16="http://schemas.microsoft.com/office/drawing/2014/main" id="{6B83899E-7CFF-979B-5CB7-B35A61E41F02}"/>
                </a:ext>
              </a:extLst>
            </xdr:cNvPr>
            <xdr:cNvSpPr txBox="1"/>
          </xdr:nvSpPr>
          <xdr:spPr bwMode="auto">
            <a:xfrm rot="16200000">
              <a:off x="800128" y="1601535"/>
              <a:ext cx="345911" cy="2796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/>
                <a:t>H</a:t>
              </a:r>
              <a:r>
                <a:rPr lang="en-US" sz="1200" baseline="-25000"/>
                <a:t>2</a:t>
              </a:r>
            </a:p>
          </xdr:txBody>
        </xdr:sp>
        <xdr:grpSp>
          <xdr:nvGrpSpPr>
            <xdr:cNvPr id="168" name="Nhóm 167">
              <a:extLst>
                <a:ext uri="{FF2B5EF4-FFF2-40B4-BE49-F238E27FC236}">
                  <a16:creationId xmlns:a16="http://schemas.microsoft.com/office/drawing/2014/main" id="{1EF94592-4312-2329-633F-BCB05DC4B854}"/>
                </a:ext>
              </a:extLst>
            </xdr:cNvPr>
            <xdr:cNvGrpSpPr/>
          </xdr:nvGrpSpPr>
          <xdr:grpSpPr>
            <a:xfrm>
              <a:off x="831955" y="1021762"/>
              <a:ext cx="4685028" cy="5556466"/>
              <a:chOff x="831955" y="1021762"/>
              <a:chExt cx="4685028" cy="5556466"/>
            </a:xfrm>
          </xdr:grpSpPr>
          <xdr:cxnSp macro="">
            <xdr:nvCxnSpPr>
              <xdr:cNvPr id="169" name="Straight Arrow Connector 79">
                <a:extLst>
                  <a:ext uri="{FF2B5EF4-FFF2-40B4-BE49-F238E27FC236}">
                    <a16:creationId xmlns:a16="http://schemas.microsoft.com/office/drawing/2014/main" id="{5E87E1B8-1A38-C103-5E57-910B661A549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5153873" y="2853783"/>
                <a:ext cx="0" cy="253165"/>
              </a:xfrm>
              <a:prstGeom prst="straightConnector1">
                <a:avLst/>
              </a:prstGeom>
              <a:noFill/>
              <a:ln w="6350" algn="ctr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grpSp>
            <xdr:nvGrpSpPr>
              <xdr:cNvPr id="170" name="Nhóm 169">
                <a:extLst>
                  <a:ext uri="{FF2B5EF4-FFF2-40B4-BE49-F238E27FC236}">
                    <a16:creationId xmlns:a16="http://schemas.microsoft.com/office/drawing/2014/main" id="{D2A7DFEE-5B1F-9B84-2A58-D6D781AFD8D6}"/>
                  </a:ext>
                </a:extLst>
              </xdr:cNvPr>
              <xdr:cNvGrpSpPr/>
            </xdr:nvGrpSpPr>
            <xdr:grpSpPr>
              <a:xfrm>
                <a:off x="831955" y="1021762"/>
                <a:ext cx="4685028" cy="5556466"/>
                <a:chOff x="831884" y="1017633"/>
                <a:chExt cx="4683051" cy="5534792"/>
              </a:xfrm>
            </xdr:grpSpPr>
            <xdr:grpSp>
              <xdr:nvGrpSpPr>
                <xdr:cNvPr id="171" name="Nhóm 170">
                  <a:extLst>
                    <a:ext uri="{FF2B5EF4-FFF2-40B4-BE49-F238E27FC236}">
                      <a16:creationId xmlns:a16="http://schemas.microsoft.com/office/drawing/2014/main" id="{260B25FF-C8E8-A8BB-8F2A-A8C3FF392BC9}"/>
                    </a:ext>
                  </a:extLst>
                </xdr:cNvPr>
                <xdr:cNvGrpSpPr/>
              </xdr:nvGrpSpPr>
              <xdr:grpSpPr>
                <a:xfrm>
                  <a:off x="4921555" y="2778218"/>
                  <a:ext cx="593380" cy="344879"/>
                  <a:chOff x="4921555" y="2778218"/>
                  <a:chExt cx="593380" cy="344879"/>
                </a:xfrm>
              </xdr:grpSpPr>
              <xdr:cxnSp macro="">
                <xdr:nvCxnSpPr>
                  <xdr:cNvPr id="499796" name="Straight Connector 65">
                    <a:extLst>
                      <a:ext uri="{FF2B5EF4-FFF2-40B4-BE49-F238E27FC236}">
                        <a16:creationId xmlns:a16="http://schemas.microsoft.com/office/drawing/2014/main" id="{A74BC1B0-F9EE-083C-C086-4308970D8A99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949135" y="2834377"/>
                    <a:ext cx="258509" cy="14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499797" name="Straight Connector 65">
                    <a:extLst>
                      <a:ext uri="{FF2B5EF4-FFF2-40B4-BE49-F238E27FC236}">
                        <a16:creationId xmlns:a16="http://schemas.microsoft.com/office/drawing/2014/main" id="{C0501B76-6EB0-0B79-C96B-C4F62677AFC2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940595" y="3081254"/>
                    <a:ext cx="258509" cy="14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sp macro="" textlink="">
                <xdr:nvSpPr>
                  <xdr:cNvPr id="499798" name="TextBox 29">
                    <a:extLst>
                      <a:ext uri="{FF2B5EF4-FFF2-40B4-BE49-F238E27FC236}">
                        <a16:creationId xmlns:a16="http://schemas.microsoft.com/office/drawing/2014/main" id="{F60A47B1-EE86-80AD-F80E-59AA9DE34278}"/>
                      </a:ext>
                    </a:extLst>
                  </xdr:cNvPr>
                  <xdr:cNvSpPr txBox="1"/>
                </xdr:nvSpPr>
                <xdr:spPr bwMode="auto">
                  <a:xfrm rot="16200000">
                    <a:off x="5190910" y="2799072"/>
                    <a:ext cx="344879" cy="303171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square" rtlCol="0" anchor="t">
                    <a:noAutofit/>
                  </a:bodyPr>
                  <a:lstStyle/>
                  <a:p>
                    <a:r>
                      <a:rPr lang="en-US" sz="1200"/>
                      <a:t>h</a:t>
                    </a:r>
                    <a:r>
                      <a:rPr lang="en-US" sz="1200" baseline="-25000"/>
                      <a:t>v</a:t>
                    </a:r>
                  </a:p>
                </xdr:txBody>
              </xdr:sp>
              <xdr:cxnSp macro="">
                <xdr:nvCxnSpPr>
                  <xdr:cNvPr id="499799" name="Straight Connector 114">
                    <a:extLst>
                      <a:ext uri="{FF2B5EF4-FFF2-40B4-BE49-F238E27FC236}">
                        <a16:creationId xmlns:a16="http://schemas.microsoft.com/office/drawing/2014/main" id="{D21E53CF-E1ED-9740-D165-3404EDBAB13C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4921555" y="2845068"/>
                    <a:ext cx="3558" cy="238562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</xdr:grpSp>
            <xdr:grpSp>
              <xdr:nvGrpSpPr>
                <xdr:cNvPr id="172" name="Nhóm 171">
                  <a:extLst>
                    <a:ext uri="{FF2B5EF4-FFF2-40B4-BE49-F238E27FC236}">
                      <a16:creationId xmlns:a16="http://schemas.microsoft.com/office/drawing/2014/main" id="{7656E0CB-2D97-3A87-0F2D-5187A983DC7D}"/>
                    </a:ext>
                  </a:extLst>
                </xdr:cNvPr>
                <xdr:cNvGrpSpPr/>
              </xdr:nvGrpSpPr>
              <xdr:grpSpPr>
                <a:xfrm>
                  <a:off x="831884" y="1017633"/>
                  <a:ext cx="4591765" cy="5534792"/>
                  <a:chOff x="831884" y="1017633"/>
                  <a:chExt cx="4591765" cy="5534792"/>
                </a:xfrm>
              </xdr:grpSpPr>
              <xdr:cxnSp macro="">
                <xdr:nvCxnSpPr>
                  <xdr:cNvPr id="173" name="Straight Connector 129">
                    <a:extLst>
                      <a:ext uri="{FF2B5EF4-FFF2-40B4-BE49-F238E27FC236}">
                        <a16:creationId xmlns:a16="http://schemas.microsoft.com/office/drawing/2014/main" id="{4233C4C4-7255-0529-E8E8-AFF22369FE82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442755" y="1603302"/>
                    <a:ext cx="7716" cy="1053109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74" name="Straight Connector 110">
                    <a:extLst>
                      <a:ext uri="{FF2B5EF4-FFF2-40B4-BE49-F238E27FC236}">
                        <a16:creationId xmlns:a16="http://schemas.microsoft.com/office/drawing/2014/main" id="{5A6782FF-1820-BF82-4454-19FFCDC4375D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036885" y="1599289"/>
                    <a:ext cx="889" cy="1046270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75" name="Straight Connector 111">
                    <a:extLst>
                      <a:ext uri="{FF2B5EF4-FFF2-40B4-BE49-F238E27FC236}">
                        <a16:creationId xmlns:a16="http://schemas.microsoft.com/office/drawing/2014/main" id="{70DCAA72-87AB-519A-6F51-D1CC05A5DC95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042359" y="1609110"/>
                    <a:ext cx="392338" cy="2054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76" name="Straight Connector 114">
                    <a:extLst>
                      <a:ext uri="{FF2B5EF4-FFF2-40B4-BE49-F238E27FC236}">
                        <a16:creationId xmlns:a16="http://schemas.microsoft.com/office/drawing/2014/main" id="{ACCB905D-DAC4-3491-0C2D-B8AEAEFFAB0E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499572" y="2649098"/>
                    <a:ext cx="427463" cy="201022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grpSp>
                <xdr:nvGrpSpPr>
                  <xdr:cNvPr id="177" name="Nhóm 176">
                    <a:extLst>
                      <a:ext uri="{FF2B5EF4-FFF2-40B4-BE49-F238E27FC236}">
                        <a16:creationId xmlns:a16="http://schemas.microsoft.com/office/drawing/2014/main" id="{231221FA-D4F1-2F0A-B015-F65F0DD2CF92}"/>
                      </a:ext>
                    </a:extLst>
                  </xdr:cNvPr>
                  <xdr:cNvGrpSpPr/>
                </xdr:nvGrpSpPr>
                <xdr:grpSpPr>
                  <a:xfrm>
                    <a:off x="831884" y="1017633"/>
                    <a:ext cx="4591765" cy="5534792"/>
                    <a:chOff x="831884" y="1017633"/>
                    <a:chExt cx="4591765" cy="5534792"/>
                  </a:xfrm>
                </xdr:grpSpPr>
                <xdr:sp macro="" textlink="">
                  <xdr:nvSpPr>
                    <xdr:cNvPr id="178" name="Lưu đồ: Hoặc 177">
                      <a:extLst>
                        <a:ext uri="{FF2B5EF4-FFF2-40B4-BE49-F238E27FC236}">
                          <a16:creationId xmlns:a16="http://schemas.microsoft.com/office/drawing/2014/main" id="{0F9D2540-8366-4ACD-5974-AA191F298740}"/>
                        </a:ext>
                      </a:extLst>
                    </xdr:cNvPr>
                    <xdr:cNvSpPr/>
                  </xdr:nvSpPr>
                  <xdr:spPr bwMode="auto">
                    <a:xfrm>
                      <a:off x="3239902" y="5085511"/>
                      <a:ext cx="148477" cy="123825"/>
                    </a:xfrm>
                    <a:prstGeom prst="flowChartOr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</xdr:spPr>
                  <xdr:txBody>
                    <a:bodyPr vertOverflow="clip" wrap="square" lIns="18288" tIns="0" rIns="0" bIns="0" rtlCol="0" anchor="ctr" upright="1"/>
                    <a:lstStyle/>
                    <a:p>
                      <a:pPr algn="l"/>
                      <a:endParaRPr lang="en-US" sz="1100"/>
                    </a:p>
                  </xdr:txBody>
                </xdr:sp>
                <xdr:grpSp>
                  <xdr:nvGrpSpPr>
                    <xdr:cNvPr id="179" name="Nhóm 178">
                      <a:extLst>
                        <a:ext uri="{FF2B5EF4-FFF2-40B4-BE49-F238E27FC236}">
                          <a16:creationId xmlns:a16="http://schemas.microsoft.com/office/drawing/2014/main" id="{16FAFF5B-9147-45C5-739A-871291F575B0}"/>
                        </a:ext>
                      </a:extLst>
                    </xdr:cNvPr>
                    <xdr:cNvGrpSpPr/>
                  </xdr:nvGrpSpPr>
                  <xdr:grpSpPr>
                    <a:xfrm>
                      <a:off x="831884" y="1017633"/>
                      <a:ext cx="4591765" cy="5534792"/>
                      <a:chOff x="831884" y="1017633"/>
                      <a:chExt cx="4591765" cy="5534792"/>
                    </a:xfrm>
                  </xdr:grpSpPr>
                  <xdr:grpSp>
                    <xdr:nvGrpSpPr>
                      <xdr:cNvPr id="180" name="Nhóm 179">
                        <a:extLst>
                          <a:ext uri="{FF2B5EF4-FFF2-40B4-BE49-F238E27FC236}">
                            <a16:creationId xmlns:a16="http://schemas.microsoft.com/office/drawing/2014/main" id="{DDEA7983-0D47-EE15-1B0B-8D912554E3B4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489982" y="6101777"/>
                        <a:ext cx="1715200" cy="344232"/>
                        <a:chOff x="5078016" y="1518047"/>
                        <a:chExt cx="1579434" cy="345107"/>
                      </a:xfrm>
                    </xdr:grpSpPr>
                    <xdr:sp macro="" textlink="">
                      <xdr:nvSpPr>
                        <xdr:cNvPr id="499794" name="TextBox 117">
                          <a:extLst>
                            <a:ext uri="{FF2B5EF4-FFF2-40B4-BE49-F238E27FC236}">
                              <a16:creationId xmlns:a16="http://schemas.microsoft.com/office/drawing/2014/main" id="{86CCE58E-9806-06D8-A8F6-41CFD1E7B380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5696978" y="1518047"/>
                          <a:ext cx="435038" cy="34510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wrap="square" rtlCol="0" anchor="t">
                          <a:noAutofit/>
                        </a:bodyPr>
                        <a:lstStyle/>
                        <a:p>
                          <a:pPr marL="0" marR="0" lvl="0" indent="0" defTabSz="91440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/>
                          </a:pPr>
                          <a:r>
                            <a:rPr lang="en-US" sz="1200">
                              <a:latin typeface="Calibri (Body)"/>
                              <a:cs typeface="Times New Roman" panose="02020603050405020304" pitchFamily="18" charset="0"/>
                            </a:rPr>
                            <a:t>L</a:t>
                          </a:r>
                          <a:r>
                            <a:rPr lang="en-US" sz="1200" baseline="-25000">
                              <a:latin typeface="Calibri (Body)"/>
                            </a:rPr>
                            <a:t>1 </a:t>
                          </a:r>
                          <a:endParaRPr lang="en-US" sz="1200">
                            <a:effectLst/>
                          </a:endParaRPr>
                        </a:p>
                      </xdr:txBody>
                    </xdr:sp>
                    <xdr:cxnSp macro="">
                      <xdr:nvCxnSpPr>
                        <xdr:cNvPr id="499795" name="Straight Arrow Connector 70">
                          <a:extLst>
                            <a:ext uri="{FF2B5EF4-FFF2-40B4-BE49-F238E27FC236}">
                              <a16:creationId xmlns:a16="http://schemas.microsoft.com/office/drawing/2014/main" id="{BA454D90-7DCA-BF9D-B8CB-FD8178A7CCE2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V="1">
                          <a:off x="5078016" y="1766784"/>
                          <a:ext cx="1579434" cy="3649"/>
                        </a:xfrm>
                        <a:prstGeom prst="straightConnector1">
                          <a:avLst/>
                        </a:prstGeom>
                        <a:noFill/>
                        <a:ln w="6350" algn="ctr">
                          <a:solidFill>
                            <a:srgbClr val="000000"/>
                          </a:solidFill>
                          <a:round/>
                          <a:headEnd type="triangle" w="med" len="med"/>
                          <a:tailEnd type="triangle" w="med" len="med"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81" name="Nhóm 180">
                        <a:extLst>
                          <a:ext uri="{FF2B5EF4-FFF2-40B4-BE49-F238E27FC236}">
                            <a16:creationId xmlns:a16="http://schemas.microsoft.com/office/drawing/2014/main" id="{4E8211B1-5C2F-D6B6-074C-A5D03D3A0C6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31884" y="1017633"/>
                        <a:ext cx="4591765" cy="5534792"/>
                        <a:chOff x="831884" y="1017633"/>
                        <a:chExt cx="4591765" cy="5534792"/>
                      </a:xfrm>
                    </xdr:grpSpPr>
                    <xdr:cxnSp macro="">
                      <xdr:nvCxnSpPr>
                        <xdr:cNvPr id="182" name="Straight Connector 178">
                          <a:extLst>
                            <a:ext uri="{FF2B5EF4-FFF2-40B4-BE49-F238E27FC236}">
                              <a16:creationId xmlns:a16="http://schemas.microsoft.com/office/drawing/2014/main" id="{B65E9F86-9843-6A65-BE09-B17B35DD3FF7}"/>
                            </a:ext>
                          </a:extLst>
                        </xdr:cNvPr>
                        <xdr:cNvCxnSpPr/>
                      </xdr:nvCxnSpPr>
                      <xdr:spPr bwMode="auto">
                        <a:xfrm>
                          <a:off x="2476500" y="3725956"/>
                          <a:ext cx="22412" cy="2762250"/>
                        </a:xfrm>
                        <a:prstGeom prst="line">
                          <a:avLst/>
                        </a:prstGeom>
                        <a:ln w="6350">
                          <a:prstDash val="lgDashDot"/>
                          <a:headEnd type="none" w="med" len="med"/>
                          <a:tailEnd type="none" w="med" len="med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83" name="Straight Connector 178">
                          <a:extLst>
                            <a:ext uri="{FF2B5EF4-FFF2-40B4-BE49-F238E27FC236}">
                              <a16:creationId xmlns:a16="http://schemas.microsoft.com/office/drawing/2014/main" id="{F8B3DDF1-67DD-06D7-312B-560025EA636C}"/>
                            </a:ext>
                          </a:extLst>
                        </xdr:cNvPr>
                        <xdr:cNvCxnSpPr/>
                      </xdr:nvCxnSpPr>
                      <xdr:spPr bwMode="auto">
                        <a:xfrm>
                          <a:off x="4186518" y="3721474"/>
                          <a:ext cx="22412" cy="2762250"/>
                        </a:xfrm>
                        <a:prstGeom prst="line">
                          <a:avLst/>
                        </a:prstGeom>
                        <a:ln w="6350">
                          <a:prstDash val="lgDashDot"/>
                          <a:headEnd type="none" w="med" len="med"/>
                          <a:tailEnd type="none" w="med" len="med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184" name="Nhóm 183">
                          <a:extLst>
                            <a:ext uri="{FF2B5EF4-FFF2-40B4-BE49-F238E27FC236}">
                              <a16:creationId xmlns:a16="http://schemas.microsoft.com/office/drawing/2014/main" id="{D76EC7F5-2D7C-1AA7-2459-3F84B35EAD1B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31884" y="1017633"/>
                          <a:ext cx="4591765" cy="5534792"/>
                          <a:chOff x="831884" y="1017633"/>
                          <a:chExt cx="4591765" cy="5534792"/>
                        </a:xfrm>
                      </xdr:grpSpPr>
                      <xdr:sp macro="" textlink="">
                        <xdr:nvSpPr>
                          <xdr:cNvPr id="185" name="Rectangle 8567830">
                            <a:extLst>
                              <a:ext uri="{FF2B5EF4-FFF2-40B4-BE49-F238E27FC236}">
                                <a16:creationId xmlns:a16="http://schemas.microsoft.com/office/drawing/2014/main" id="{E140746F-9380-8A4E-D774-103443E0A8CA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2277989" y="5597481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186" name="Rectangle 8567830">
                            <a:extLst>
                              <a:ext uri="{FF2B5EF4-FFF2-40B4-BE49-F238E27FC236}">
                                <a16:creationId xmlns:a16="http://schemas.microsoft.com/office/drawing/2014/main" id="{DD7E66CF-BB82-BFFC-9F52-49C7C99358F7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3959993" y="5609807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187" name="Rectangle 8567830">
                            <a:extLst>
                              <a:ext uri="{FF2B5EF4-FFF2-40B4-BE49-F238E27FC236}">
                                <a16:creationId xmlns:a16="http://schemas.microsoft.com/office/drawing/2014/main" id="{3078D884-F262-5EE6-84B0-885EE3964EC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3966716" y="4271825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188" name="Rectangle 8567830">
                            <a:extLst>
                              <a:ext uri="{FF2B5EF4-FFF2-40B4-BE49-F238E27FC236}">
                                <a16:creationId xmlns:a16="http://schemas.microsoft.com/office/drawing/2014/main" id="{AC0FD97A-145B-7DC7-02E7-44EF0A828E71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2281351" y="4272946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pSp>
                        <xdr:nvGrpSpPr>
                          <xdr:cNvPr id="189" name="Nhóm 188">
                            <a:extLst>
                              <a:ext uri="{FF2B5EF4-FFF2-40B4-BE49-F238E27FC236}">
                                <a16:creationId xmlns:a16="http://schemas.microsoft.com/office/drawing/2014/main" id="{95A462F3-F383-C889-D911-23A87E436F6D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831884" y="1017633"/>
                            <a:ext cx="4591765" cy="5534792"/>
                            <a:chOff x="831884" y="1017633"/>
                            <a:chExt cx="4591765" cy="5534792"/>
                          </a:xfrm>
                        </xdr:grpSpPr>
                        <xdr:cxnSp macro="">
                          <xdr:nvCxnSpPr>
                            <xdr:cNvPr id="190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48CBCBB9-984A-3BF7-A316-4DCCD4B869CA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819222" y="3722364"/>
                              <a:ext cx="427556" cy="502253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cxnSp macro="">
                          <xdr:nvCxnSpPr>
                            <xdr:cNvPr id="191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70E2B11A-C4EF-2FDE-CCC5-840740048AE8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4457137" y="6050100"/>
                              <a:ext cx="437463" cy="498660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cxnSp macro="">
                          <xdr:nvCxnSpPr>
                            <xdr:cNvPr id="499712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86F20D81-6A08-E61C-9899-1BB909445FDB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1808016" y="6026179"/>
                              <a:ext cx="434452" cy="512682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grpSp>
                          <xdr:nvGrpSpPr>
                            <xdr:cNvPr id="499734" name="Nhóm 499733">
                              <a:extLst>
                                <a:ext uri="{FF2B5EF4-FFF2-40B4-BE49-F238E27FC236}">
                                  <a16:creationId xmlns:a16="http://schemas.microsoft.com/office/drawing/2014/main" id="{275BE45F-E50D-DCAA-0D74-6D7E3F6F87A7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831884" y="1017633"/>
                              <a:ext cx="4591765" cy="5534792"/>
                              <a:chOff x="831884" y="1017633"/>
                              <a:chExt cx="4591765" cy="5534792"/>
                            </a:xfrm>
                          </xdr:grpSpPr>
                          <xdr:cxnSp macro="">
                            <xdr:nvCxnSpPr>
                              <xdr:cNvPr id="499735" name="Straight Connector 111">
                                <a:extLst>
                                  <a:ext uri="{FF2B5EF4-FFF2-40B4-BE49-F238E27FC236}">
                                    <a16:creationId xmlns:a16="http://schemas.microsoft.com/office/drawing/2014/main" id="{CE1BEEA3-5DCB-7031-3706-1E7166A2D8B4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59335" y="3727680"/>
                                <a:ext cx="416947" cy="482759"/>
                              </a:xfrm>
                              <a:prstGeom prst="line">
                                <a:avLst/>
                              </a:prstGeom>
                              <a:noFill/>
                              <a:ln w="158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cxnSp>
                          <xdr:grpSp>
                            <xdr:nvGrpSpPr>
                              <xdr:cNvPr id="499736" name="Nhóm 499735">
                                <a:extLst>
                                  <a:ext uri="{FF2B5EF4-FFF2-40B4-BE49-F238E27FC236}">
                                    <a16:creationId xmlns:a16="http://schemas.microsoft.com/office/drawing/2014/main" id="{4D94FE25-32BB-536F-8694-184F53DB24A1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831884" y="1017633"/>
                                <a:ext cx="4591765" cy="5534792"/>
                                <a:chOff x="831904" y="1018754"/>
                                <a:chExt cx="4592305" cy="5540675"/>
                              </a:xfrm>
                            </xdr:grpSpPr>
                            <xdr:grpSp>
                              <xdr:nvGrpSpPr>
                                <xdr:cNvPr id="499737" name="Nhóm 499736">
                                  <a:extLst>
                                    <a:ext uri="{FF2B5EF4-FFF2-40B4-BE49-F238E27FC236}">
                                      <a16:creationId xmlns:a16="http://schemas.microsoft.com/office/drawing/2014/main" id="{401990A1-F7F9-BEEC-BBB7-367BE60E61A5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831904" y="1018754"/>
                                  <a:ext cx="4592305" cy="2453098"/>
                                  <a:chOff x="831904" y="1019283"/>
                                  <a:chExt cx="4592305" cy="2452602"/>
                                </a:xfrm>
                              </xdr:grpSpPr>
                              <xdr:grpSp>
                                <xdr:nvGrpSpPr>
                                  <xdr:cNvPr id="499754" name="Nhóm 499753">
                                    <a:extLst>
                                      <a:ext uri="{FF2B5EF4-FFF2-40B4-BE49-F238E27FC236}">
                                        <a16:creationId xmlns:a16="http://schemas.microsoft.com/office/drawing/2014/main" id="{4E34D049-B456-92FF-E5AD-8F13D35A0166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831904" y="1569148"/>
                                    <a:ext cx="4592305" cy="1902737"/>
                                    <a:chOff x="662794" y="1536645"/>
                                    <a:chExt cx="4761416" cy="1932657"/>
                                  </a:xfrm>
                                </xdr:grpSpPr>
                                <xdr:grpSp>
                                  <xdr:nvGrpSpPr>
                                    <xdr:cNvPr id="499760" name="Group 9">
                                      <a:extLst>
                                        <a:ext uri="{FF2B5EF4-FFF2-40B4-BE49-F238E27FC236}">
                                          <a16:creationId xmlns:a16="http://schemas.microsoft.com/office/drawing/2014/main" id="{082292FB-D1A2-540D-2905-7D7754504265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62794" y="1536645"/>
                                      <a:ext cx="4761416" cy="1932657"/>
                                      <a:chOff x="3289860" y="2667830"/>
                                      <a:chExt cx="3367130" cy="1430617"/>
                                    </a:xfrm>
                                  </xdr:grpSpPr>
                                  <xdr:grpSp>
                                    <xdr:nvGrpSpPr>
                                      <xdr:cNvPr id="499763" name="Group 847190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52E8AC5-FE62-62D0-9EBE-92A7C120AF6F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289860" y="2679849"/>
                                        <a:ext cx="3367130" cy="1418598"/>
                                        <a:chOff x="9002193" y="19969735"/>
                                        <a:chExt cx="1843836" cy="927568"/>
                                      </a:xfrm>
                                    </xdr:grpSpPr>
                                    <xdr:cxnSp macro="">
                                      <xdr:nvCxnSpPr>
                                        <xdr:cNvPr id="499768" name="Straight Connector 1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8C207E1-D06D-BE3C-1564-888751F08B94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>
                                          <a:off x="9816990" y="19977562"/>
                                          <a:ext cx="3098" cy="5182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158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xtLst>
                                          <a:ext uri="{909E8E84-426E-40DD-AFC4-6F175D3DCCD1}">
                                            <a14:hiddenFill xmlns:a14="http://schemas.microsoft.com/office/drawing/2010/main">
                                              <a:noFill/>
                                            </a14:hiddenFill>
                                          </a:ext>
                                        </a:extLst>
                                      </xdr:spPr>
                                    </xdr:cxnSp>
                                    <xdr:grpSp>
                                      <xdr:nvGrpSpPr>
                                        <xdr:cNvPr id="499769" name="Group 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18D2AA28-1F38-AB3A-FF75-5DBD41ED592E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9002193" y="19969735"/>
                                          <a:ext cx="1843836" cy="927568"/>
                                          <a:chOff x="9967647" y="19904918"/>
                                          <a:chExt cx="1846314" cy="92802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499770" name="TextBox 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C4D0FD48-B874-E7C5-4B89-0FC74A2E33B4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 bwMode="auto">
                                          <a:xfrm rot="16200000">
                                            <a:off x="10132795" y="20463393"/>
                                            <a:ext cx="166910" cy="127258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>
                                            <a:noAutofit/>
                                          </a:bodyPr>
                                          <a:lstStyle/>
                                          <a:p>
                                            <a:r>
                                              <a:rPr lang="en-US" sz="1300"/>
                                              <a:t>h</a:t>
                                            </a:r>
                                            <a:r>
                                              <a:rPr lang="en-US" sz="1100" baseline="-25000"/>
                                              <a:t>b</a:t>
                                            </a:r>
                                            <a:endParaRPr lang="en-US" sz="1300" baseline="-25000"/>
                                          </a:p>
                                        </xdr:txBody>
                                      </xdr:sp>
                                      <xdr:cxnSp macro="">
                                        <xdr:nvCxnSpPr>
                                          <xdr:cNvPr id="499771" name="Straight Connector 6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CE1EAFEE-1E3D-17C6-7116-21D5819ADA55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>
                                            <a:off x="10212535" y="20412475"/>
                                            <a:ext cx="361824" cy="39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xtLst>
                                            <a:ext uri="{909E8E84-426E-40DD-AFC4-6F175D3DCCD1}">
                                              <a14:hiddenFill xmlns:a14="http://schemas.microsoft.com/office/drawing/2010/main">
                                                <a:noFill/>
                                              </a14:hiddenFill>
                                            </a:ext>
                                          </a:extLst>
                                        </xdr:spPr>
                                      </xdr:cxnSp>
                                      <xdr:cxnSp macro="">
                                        <xdr:nvCxnSpPr>
                                          <xdr:cNvPr id="499772" name="Straight Connector 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7339232D-BD10-9B2C-F19C-9566B5ED7119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 bwMode="auto">
                                          <a:xfrm flipV="1">
                                            <a:off x="10032127" y="20629747"/>
                                            <a:ext cx="34375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ln>
                                            <a:solidFill>
                                              <a:schemeClr val="tx1"/>
                                            </a:solidFill>
                                          </a:ln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  <xdr:grpSp>
                                        <xdr:nvGrpSpPr>
                                          <xdr:cNvPr id="499773" name="Group 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14D7F255-B21F-DB26-C133-18F7B2BADD6E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9967647" y="19904918"/>
                                            <a:ext cx="1846314" cy="928028"/>
                                            <a:chOff x="9967647" y="19904918"/>
                                            <a:chExt cx="1846314" cy="928028"/>
                                          </a:xfrm>
                                        </xdr:grpSpPr>
                                        <xdr:cxnSp macro="">
                                          <xdr:nvCxnSpPr>
                                            <xdr:cNvPr id="499774" name="Straight Connector 6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BA674DAA-DAA6-F2AF-A5AA-1A2DF58280E6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042970" y="20063097"/>
                                              <a:ext cx="1770991" cy="388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270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grpSp>
                                          <xdr:nvGrpSpPr>
                                            <xdr:cNvPr id="499775" name="Group 10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011BFF9-BEE0-EC1E-E009-33322CB5FDB2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389231" y="19904918"/>
                                              <a:ext cx="1221124" cy="737820"/>
                                              <a:chOff x="3550083" y="2884291"/>
                                              <a:chExt cx="502090" cy="275175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499789" name="Straight Connector 11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3DD51C5-D0AC-08DE-C60A-C9481BC564B1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3646008" y="2884291"/>
                                                <a:ext cx="147" cy="19213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90" name="Straight Connector 1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548CEAC-D632-6A78-88DB-91ECC0116BE8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3551717" y="3076356"/>
                                                <a:ext cx="86131" cy="3843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91" name="Straight Connector 11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C285CBB-B915-AD67-32F2-821842B94B25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3712590" y="3080749"/>
                                                <a:ext cx="194237" cy="41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92" name="Straight Connector 1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653018AE-6E00-963C-6E0B-E0B876B846BA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3550707" y="3157238"/>
                                                <a:ext cx="501466" cy="222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93" name="Straight Connector 11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41E9D564-0BDC-C8BF-29B4-9715B029223E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H="1">
                                                <a:off x="3550083" y="3114788"/>
                                                <a:ext cx="588" cy="4381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</xdr:grpSp>
                                        <xdr:grpSp>
                                          <xdr:nvGrpSpPr>
                                            <xdr:cNvPr id="499776" name="Group 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E49BA60-342C-D493-FC62-E7C257E14617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256753" y="20065628"/>
                                              <a:ext cx="1458891" cy="80784"/>
                                              <a:chOff x="6294395" y="19655148"/>
                                              <a:chExt cx="1762943" cy="61699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499783" name="Straight Connector 3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5185A9A-E736-C16C-7C1E-6F6965F4BCD6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860071" y="19655148"/>
                                                <a:ext cx="103558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84" name="Straight Connector 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55C8813-B739-2601-0BE7-F08E63AB8A97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294395" y="19656600"/>
                                                <a:ext cx="93715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85" name="Straight Connector 2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D5480FE-3824-DDA1-3C95-5590D0713007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388108" y="19656600"/>
                                                <a:ext cx="99492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86" name="Straight Connector 2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45269E98-5DB8-01FC-B757-A44892547C55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487604" y="19656600"/>
                                                <a:ext cx="101525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87" name="Straight Connector 3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755684F-6404-4F4B-8B8A-2FABC88E77F7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758541" y="19660991"/>
                                                <a:ext cx="101524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499788" name="Straight Connector 3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4E1CCAC1-0E2A-716A-1194-D62CC8E708D6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963624" y="19655148"/>
                                                <a:ext cx="93714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</xdr:grpSp>
                                        <xdr:sp macro="" textlink="">
                                          <xdr:nvSpPr>
                                            <xdr:cNvPr id="499777" name="TextBox 2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BFFC6EF-278F-ED5B-AC7D-C553734A0B96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 bwMode="auto">
                                            <a:xfrm>
                                              <a:off x="10932618" y="20668518"/>
                                              <a:ext cx="128178" cy="134017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>
                                              <a:noAutofit/>
                                            </a:bodyPr>
                                            <a:lstStyle/>
                                            <a:p>
                                              <a:r>
                                                <a:rPr lang="en-US" sz="1200">
                                                  <a:latin typeface="Calibri (Body)"/>
                                                  <a:cs typeface="Times New Roman" panose="02020603050405020304" pitchFamily="18" charset="0"/>
                                                </a:rPr>
                                                <a:t>L</a:t>
                                              </a:r>
                                              <a:endParaRPr lang="en-US" sz="1200" baseline="-25000">
                                                <a:latin typeface="Calibri (Body)"/>
                                              </a:endParaRPr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499778" name="Straight Arrow Connector 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27D104E-33F8-4DFC-C958-DE5046375724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266763" y="20418776"/>
                                              <a:ext cx="1836" cy="220993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sp macro="" textlink="">
                                          <xdr:nvSpPr>
                                            <xdr:cNvPr id="499779" name="TextBox 2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9389419-E7DE-DF5B-8E21-1765A3A8C0CE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 bwMode="auto">
                                            <a:xfrm rot="16200000">
                                              <a:off x="9935188" y="20234720"/>
                                              <a:ext cx="198879" cy="133962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>
                                              <a:noAutofit/>
                                            </a:bodyPr>
                                            <a:lstStyle/>
                                            <a:p>
                                              <a:r>
                                                <a:rPr lang="en-US" sz="1200"/>
                                                <a:t>H</a:t>
                                              </a:r>
                                              <a:r>
                                                <a:rPr lang="en-US" sz="1200" baseline="-25000"/>
                                                <a:t>1</a:t>
                                              </a:r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499780" name="Straight Arrow Connector 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15F71C53-FC33-F7AD-3EBF-ACF82A7182A6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103959" y="20071035"/>
                                              <a:ext cx="2511" cy="558141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499781" name="Straight Arrow Connector 7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B91C35F-F924-37CC-DAC0-D24E5B06E67A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398653" y="20802134"/>
                                              <a:ext cx="1201509" cy="8043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499782" name="Straight Connector 6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135DEE9-DB9A-DC50-2E51-2BB9533D5351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11605509" y="20660256"/>
                                              <a:ext cx="1721" cy="17269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</xdr:grpSp>
                                    </xdr:grpSp>
                                  </xdr:grpSp>
                                  <xdr:cxnSp macro="">
                                    <xdr:nvCxnSpPr>
                                      <xdr:cNvPr id="499764" name="Straight Connector 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54A9D85F-4AD8-3DD5-9802-81337108AF7F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4066265" y="3832413"/>
                                        <a:ext cx="3142" cy="2627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499765" name="Straight Arrow Connector 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F3ECA809-5B81-C5DC-C07D-A7EF28E1A947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3539786" y="2674257"/>
                                        <a:ext cx="1700" cy="238118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 type="triangle" w="med" len="med"/>
                                        <a:tailEnd type="triangle" w="med" len="med"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499766" name="Straight Connector 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087D075-AF7C-579A-A54B-6CB41B894D52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3416696" y="2667830"/>
                                        <a:ext cx="991616" cy="454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499767" name="Straight Connector 1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357F64F0-59FE-6AF1-AB85-058AFE3E8522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4488184" y="2687228"/>
                                        <a:ext cx="288077" cy="15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158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</xdr:grpSp>
                                <xdr:sp macro="" textlink="">
                                  <xdr:nvSpPr>
                                    <xdr:cNvPr id="499761" name="TextBox 10">
                                      <a:extLst>
                                        <a:ext uri="{FF2B5EF4-FFF2-40B4-BE49-F238E27FC236}">
                                          <a16:creationId xmlns:a16="http://schemas.microsoft.com/office/drawing/2014/main" id="{BAE773F8-F7E6-4282-81F8-49456791844E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2413511" y="2085472"/>
                                      <a:ext cx="337350" cy="314621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r>
                                        <a:rPr lang="en-US" sz="1200"/>
                                        <a:t>b</a:t>
                                      </a:r>
                                      <a:endParaRPr lang="en-US" sz="1200" baseline="-25000"/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499762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97C69E53-F6D8-1E24-3E94-7B4F8EBE48D4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348655" y="2386291"/>
                                      <a:ext cx="439517" cy="2362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  <xdr:grpSp>
                                <xdr:nvGrpSpPr>
                                  <xdr:cNvPr id="499755" name="Nhóm 499754">
                                    <a:extLst>
                                      <a:ext uri="{FF2B5EF4-FFF2-40B4-BE49-F238E27FC236}">
                                        <a16:creationId xmlns:a16="http://schemas.microsoft.com/office/drawing/2014/main" id="{3BBAD081-AB3F-55AD-6F41-8E0C6DF111F6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652455" y="1019283"/>
                                    <a:ext cx="1580884" cy="486855"/>
                                    <a:chOff x="695835" y="1027389"/>
                                    <a:chExt cx="3315996" cy="615183"/>
                                  </a:xfrm>
                                </xdr:grpSpPr>
                                <xdr:sp macro="" textlink="">
                                  <xdr:nvSpPr>
                                    <xdr:cNvPr id="499756" name="TextBox 117">
                                      <a:extLst>
                                        <a:ext uri="{FF2B5EF4-FFF2-40B4-BE49-F238E27FC236}">
                                          <a16:creationId xmlns:a16="http://schemas.microsoft.com/office/drawing/2014/main" id="{53151836-D128-7855-7C0E-D2B5F4DF01DD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1997688" y="1027389"/>
                                      <a:ext cx="912290" cy="43499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pPr marL="0" marR="0" lvl="0" indent="0" defTabSz="914400" eaLnBrk="1" fontAlgn="auto" latinLnBrk="0" hangingPunct="1">
                                        <a:lnSpc>
                                          <a:spcPct val="100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Tx/>
                                        <a:buSzTx/>
                                        <a:buFontTx/>
                                        <a:buNone/>
                                        <a:tabLst/>
                                        <a:defRPr/>
                                      </a:pPr>
                                      <a:r>
                                        <a:rPr lang="en-US" sz="1200">
                                          <a:latin typeface="Calibri (Body)"/>
                                          <a:cs typeface="Times New Roman" panose="02020603050405020304" pitchFamily="18" charset="0"/>
                                        </a:rPr>
                                        <a:t>L</a:t>
                                      </a:r>
                                      <a:r>
                                        <a:rPr lang="en-US" sz="1200" baseline="-25000">
                                          <a:latin typeface="Calibri (Body)"/>
                                        </a:rPr>
                                        <a:t>1 </a:t>
                                      </a:r>
                                      <a:endParaRPr lang="en-US" sz="1200">
                                        <a:effectLst/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499757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3F03A69A-9469-55DB-CB41-D42AD233708E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99703" y="1340913"/>
                                      <a:ext cx="3312128" cy="4599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499758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689DF700-4AD0-A7FA-0E4D-D0C0DA9E8148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95835" y="1258246"/>
                                      <a:ext cx="4443" cy="35473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499759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5F945DBF-A04A-6756-7594-4EDBAB85D649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4001300" y="1287562"/>
                                      <a:ext cx="4443" cy="35501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</xdr:grpSp>
                            <xdr:grpSp>
                              <xdr:nvGrpSpPr>
                                <xdr:cNvPr id="499738" name="Nhóm 499737">
                                  <a:extLst>
                                    <a:ext uri="{FF2B5EF4-FFF2-40B4-BE49-F238E27FC236}">
                                      <a16:creationId xmlns:a16="http://schemas.microsoft.com/office/drawing/2014/main" id="{14921E2E-565A-C24C-8E44-C2DA92DF733D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1094088" y="3707609"/>
                                  <a:ext cx="3793145" cy="2851820"/>
                                  <a:chOff x="1094088" y="3707609"/>
                                  <a:chExt cx="3793145" cy="2851820"/>
                                </a:xfrm>
                              </xdr:grpSpPr>
                              <xdr:grpSp>
                                <xdr:nvGrpSpPr>
                                  <xdr:cNvPr id="499739" name="Nhóm 499738">
                                    <a:extLst>
                                      <a:ext uri="{FF2B5EF4-FFF2-40B4-BE49-F238E27FC236}">
                                        <a16:creationId xmlns:a16="http://schemas.microsoft.com/office/drawing/2014/main" id="{6C7429FE-2CA6-6236-4BD5-FE1030583FD5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1094088" y="3707609"/>
                                    <a:ext cx="3793145" cy="2851820"/>
                                    <a:chOff x="1094088" y="3707609"/>
                                    <a:chExt cx="3793145" cy="2851820"/>
                                  </a:xfrm>
                                </xdr:grpSpPr>
                                <xdr:grpSp>
                                  <xdr:nvGrpSpPr>
                                    <xdr:cNvPr id="499743" name="Group 108">
                                      <a:extLst>
                                        <a:ext uri="{FF2B5EF4-FFF2-40B4-BE49-F238E27FC236}">
                                          <a16:creationId xmlns:a16="http://schemas.microsoft.com/office/drawing/2014/main" id="{8A8B46B9-5D61-96FA-BC55-A90488A7FB6E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094088" y="3707609"/>
                                      <a:ext cx="3793145" cy="2851820"/>
                                      <a:chOff x="3420344" y="3392066"/>
                                      <a:chExt cx="2178437" cy="820650"/>
                                    </a:xfrm>
                                  </xdr:grpSpPr>
                                  <xdr:sp macro="" textlink="">
                                    <xdr:nvSpPr>
                                      <xdr:cNvPr id="499747" name="Rectangle 85678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901D0E6-58A4-E705-F222-8ACE6842CC96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 bwMode="auto">
                                      <a:xfrm>
                                        <a:off x="3827219" y="3396922"/>
                                        <a:ext cx="1771562" cy="815794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 w="15875" cap="flat" cmpd="sng" algn="ctr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med" len="med"/>
                                        <a:tailEnd type="none" w="med" len="med"/>
                                      </a:ln>
                                      <a:effectLst/>
                                    </xdr:spPr>
                                    <xdr:txBody>
                                      <a:bodyPr vertOverflow="clip" wrap="square" lIns="18288" tIns="0" rIns="0" bIns="0" rtlCol="0" anchor="ctr" upright="1"/>
                                      <a:lstStyle/>
                                      <a:p>
                                        <a:pPr algn="l"/>
                                        <a:endParaRPr lang="en-US"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499748" name="TextBox 1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D3A5596-8C0A-B3A3-245C-ADAE8BB48C31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>
                                        <a:off x="4195621" y="3683024"/>
                                        <a:ext cx="226568" cy="92009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b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9749" name="Straight Connector 14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9D0BCD4-B20D-7CE8-1782-FB04E6565695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 bwMode="auto">
                                      <a:xfrm flipV="1">
                                        <a:off x="3525148" y="4211425"/>
                                        <a:ext cx="224177" cy="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chemeClr val="tx1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sp macro="" textlink="">
                                    <xdr:nvSpPr>
                                      <xdr:cNvPr id="499750" name="TextBox 1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7BB58E65-1183-343A-3B81-D0BF943579F9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 rot="16200000">
                                        <a:off x="3462842" y="3765494"/>
                                        <a:ext cx="81756" cy="166752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B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9751" name="Straight Arrow Connector 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EC00B34-00C0-1EA0-F390-BEE2DCED2737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3579504" y="3395781"/>
                                        <a:ext cx="2742" cy="81693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 type="triangle" w="med" len="med"/>
                                        <a:tailEnd type="triangle" w="med" len="med"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499752" name="Straight Connector 1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DA62CF0-BAC4-53F1-0514-4E826A4457BC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 bwMode="auto">
                                      <a:xfrm flipV="1">
                                        <a:off x="3525148" y="3392066"/>
                                        <a:ext cx="228846" cy="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chemeClr val="tx1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sp macro="" textlink="">
                                    <xdr:nvSpPr>
                                      <xdr:cNvPr id="499753" name="TextBox 1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A8CC8B90-4A0A-03CF-9F45-96D349D0ABAE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 rot="16200000">
                                        <a:off x="4388516" y="3510706"/>
                                        <a:ext cx="119490" cy="21871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h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</xdr:grpSp>
                                <xdr:cxnSp macro="">
                                  <xdr:nvCxnSpPr>
                                    <xdr:cNvPr id="499744" name="Straight Connector 9">
                                      <a:extLst>
                                        <a:ext uri="{FF2B5EF4-FFF2-40B4-BE49-F238E27FC236}">
                                          <a16:creationId xmlns:a16="http://schemas.microsoft.com/office/drawing/2014/main" id="{AE06F356-92B4-8BF3-C6FA-C65A524EFCB6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1744756" y="4453497"/>
                                      <a:ext cx="3116916" cy="112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prstDash val="lgDashDot"/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499745" name="Straight Connector 9">
                                      <a:extLst>
                                        <a:ext uri="{FF2B5EF4-FFF2-40B4-BE49-F238E27FC236}">
                                          <a16:creationId xmlns:a16="http://schemas.microsoft.com/office/drawing/2014/main" id="{E7358204-0FAD-F704-0900-86F8EE0E7B5C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1751479" y="5817813"/>
                                      <a:ext cx="3116916" cy="112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prstDash val="lgDashDot"/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sp macro="" textlink="">
                                  <xdr:nvSpPr>
                                    <xdr:cNvPr id="499746" name="Rectangle 8567830">
                                      <a:extLst>
                                        <a:ext uri="{FF2B5EF4-FFF2-40B4-BE49-F238E27FC236}">
                                          <a16:creationId xmlns:a16="http://schemas.microsoft.com/office/drawing/2014/main" id="{F31FDD08-9C55-79C7-D4F4-91F37B1CE729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 bwMode="auto">
                                    <a:xfrm>
                                      <a:off x="2226609" y="4217894"/>
                                      <a:ext cx="2231651" cy="183412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9050" cap="flat" cmpd="sng" algn="ctr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  <a:effectLst/>
                                  </xdr:spPr>
                                  <xdr:txBody>
                                    <a:bodyPr vertOverflow="clip" wrap="square" lIns="18288" tIns="0" rIns="0" bIns="0" rtlCol="0" anchor="ctr" upright="1"/>
                                    <a:lstStyle/>
                                    <a:p>
                                      <a:pPr algn="l"/>
                                      <a:endParaRPr lang="en-US" sz="1100"/>
                                    </a:p>
                                  </xdr:txBody>
                                </xdr:sp>
                              </xdr:grpSp>
                              <xdr:grpSp>
                                <xdr:nvGrpSpPr>
                                  <xdr:cNvPr id="499740" name="Nhóm 499739">
                                    <a:extLst>
                                      <a:ext uri="{FF2B5EF4-FFF2-40B4-BE49-F238E27FC236}">
                                        <a16:creationId xmlns:a16="http://schemas.microsoft.com/office/drawing/2014/main" id="{3E943FE7-AD39-0DBF-544D-73CAA376EB5E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 rot="16200000">
                                    <a:off x="3996037" y="4975411"/>
                                    <a:ext cx="1374577" cy="345107"/>
                                    <a:chOff x="5078016" y="1518047"/>
                                    <a:chExt cx="1579434" cy="345107"/>
                                  </a:xfrm>
                                </xdr:grpSpPr>
                                <xdr:sp macro="" textlink="">
                                  <xdr:nvSpPr>
                                    <xdr:cNvPr id="499741" name="TextBox 117">
                                      <a:extLst>
                                        <a:ext uri="{FF2B5EF4-FFF2-40B4-BE49-F238E27FC236}">
                                          <a16:creationId xmlns:a16="http://schemas.microsoft.com/office/drawing/2014/main" id="{643050CD-D4B0-23EB-EE93-03D52FFD82CC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5696978" y="1518047"/>
                                      <a:ext cx="435038" cy="345107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pPr marL="0" marR="0" lvl="0" indent="0" defTabSz="914400" eaLnBrk="1" fontAlgn="auto" latinLnBrk="0" hangingPunct="1">
                                        <a:lnSpc>
                                          <a:spcPct val="100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Tx/>
                                        <a:buSzTx/>
                                        <a:buFontTx/>
                                        <a:buNone/>
                                        <a:tabLst/>
                                        <a:defRPr/>
                                      </a:pPr>
                                      <a:r>
                                        <a:rPr lang="en-US" sz="1200">
                                          <a:latin typeface="Calibri (Body)"/>
                                          <a:cs typeface="Times New Roman" panose="02020603050405020304" pitchFamily="18" charset="0"/>
                                        </a:rPr>
                                        <a:t>L</a:t>
                                      </a:r>
                                      <a:r>
                                        <a:rPr lang="en-US" sz="1200" baseline="-25000">
                                          <a:latin typeface="Calibri (Body)"/>
                                        </a:rPr>
                                        <a:t>2 </a:t>
                                      </a:r>
                                      <a:endParaRPr lang="en-US" sz="1200">
                                        <a:effectLst/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499742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D843FDF6-6BBB-47F7-0451-E7EC9A89F1B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078016" y="1766784"/>
                                      <a:ext cx="1579434" cy="3649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407422</xdr:colOff>
      <xdr:row>101</xdr:row>
      <xdr:rowOff>178903</xdr:rowOff>
    </xdr:from>
    <xdr:to>
      <xdr:col>10</xdr:col>
      <xdr:colOff>592207</xdr:colOff>
      <xdr:row>105</xdr:row>
      <xdr:rowOff>217003</xdr:rowOff>
    </xdr:to>
    <xdr:grpSp>
      <xdr:nvGrpSpPr>
        <xdr:cNvPr id="1055524" name="Group 9">
          <a:extLst>
            <a:ext uri="{FF2B5EF4-FFF2-40B4-BE49-F238E27FC236}">
              <a16:creationId xmlns:a16="http://schemas.microsoft.com/office/drawing/2014/main" id="{00000000-0008-0000-0B00-0000241B1000}"/>
            </a:ext>
          </a:extLst>
        </xdr:cNvPr>
        <xdr:cNvGrpSpPr>
          <a:grpSpLocks/>
        </xdr:cNvGrpSpPr>
      </xdr:nvGrpSpPr>
      <xdr:grpSpPr bwMode="auto">
        <a:xfrm>
          <a:off x="6471672" y="22898100"/>
          <a:ext cx="1467485" cy="0"/>
          <a:chOff x="497" y="3068"/>
          <a:chExt cx="140" cy="102"/>
        </a:xfrm>
      </xdr:grpSpPr>
      <xdr:sp macro="" textlink="">
        <xdr:nvSpPr>
          <xdr:cNvPr id="1055638" name="Line 10">
            <a:extLst>
              <a:ext uri="{FF2B5EF4-FFF2-40B4-BE49-F238E27FC236}">
                <a16:creationId xmlns:a16="http://schemas.microsoft.com/office/drawing/2014/main" id="{00000000-0008-0000-0B00-0000961B1000}"/>
              </a:ext>
            </a:extLst>
          </xdr:cNvPr>
          <xdr:cNvSpPr>
            <a:spLocks noChangeShapeType="1"/>
          </xdr:cNvSpPr>
        </xdr:nvSpPr>
        <xdr:spPr bwMode="auto">
          <a:xfrm>
            <a:off x="519" y="3120"/>
            <a:ext cx="0" cy="4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39" name="Line 11">
            <a:extLst>
              <a:ext uri="{FF2B5EF4-FFF2-40B4-BE49-F238E27FC236}">
                <a16:creationId xmlns:a16="http://schemas.microsoft.com/office/drawing/2014/main" id="{00000000-0008-0000-0B00-0000971B1000}"/>
              </a:ext>
            </a:extLst>
          </xdr:cNvPr>
          <xdr:cNvSpPr>
            <a:spLocks noChangeShapeType="1"/>
          </xdr:cNvSpPr>
        </xdr:nvSpPr>
        <xdr:spPr bwMode="auto">
          <a:xfrm>
            <a:off x="630" y="3119"/>
            <a:ext cx="0" cy="5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0" name="Line 12">
            <a:extLst>
              <a:ext uri="{FF2B5EF4-FFF2-40B4-BE49-F238E27FC236}">
                <a16:creationId xmlns:a16="http://schemas.microsoft.com/office/drawing/2014/main" id="{00000000-0008-0000-0B00-0000981B1000}"/>
              </a:ext>
            </a:extLst>
          </xdr:cNvPr>
          <xdr:cNvSpPr>
            <a:spLocks noChangeShapeType="1"/>
          </xdr:cNvSpPr>
        </xdr:nvSpPr>
        <xdr:spPr bwMode="auto">
          <a:xfrm>
            <a:off x="518" y="3120"/>
            <a:ext cx="11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1" name="Line 13">
            <a:extLst>
              <a:ext uri="{FF2B5EF4-FFF2-40B4-BE49-F238E27FC236}">
                <a16:creationId xmlns:a16="http://schemas.microsoft.com/office/drawing/2014/main" id="{00000000-0008-0000-0B00-0000991B1000}"/>
              </a:ext>
            </a:extLst>
          </xdr:cNvPr>
          <xdr:cNvSpPr>
            <a:spLocks noChangeShapeType="1"/>
          </xdr:cNvSpPr>
        </xdr:nvSpPr>
        <xdr:spPr bwMode="auto">
          <a:xfrm>
            <a:off x="519" y="3167"/>
            <a:ext cx="112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2" name="Line 14">
            <a:extLst>
              <a:ext uri="{FF2B5EF4-FFF2-40B4-BE49-F238E27FC236}">
                <a16:creationId xmlns:a16="http://schemas.microsoft.com/office/drawing/2014/main" id="{00000000-0008-0000-0B00-00009A1B1000}"/>
              </a:ext>
            </a:extLst>
          </xdr:cNvPr>
          <xdr:cNvSpPr>
            <a:spLocks noChangeShapeType="1"/>
          </xdr:cNvSpPr>
        </xdr:nvSpPr>
        <xdr:spPr bwMode="auto">
          <a:xfrm>
            <a:off x="517" y="3069"/>
            <a:ext cx="0" cy="3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3" name="Line 15">
            <a:extLst>
              <a:ext uri="{FF2B5EF4-FFF2-40B4-BE49-F238E27FC236}">
                <a16:creationId xmlns:a16="http://schemas.microsoft.com/office/drawing/2014/main" id="{00000000-0008-0000-0B00-00009B1B1000}"/>
              </a:ext>
            </a:extLst>
          </xdr:cNvPr>
          <xdr:cNvSpPr>
            <a:spLocks noChangeShapeType="1"/>
          </xdr:cNvSpPr>
        </xdr:nvSpPr>
        <xdr:spPr bwMode="auto">
          <a:xfrm>
            <a:off x="630" y="3068"/>
            <a:ext cx="0" cy="3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4" name="Line 16">
            <a:extLst>
              <a:ext uri="{FF2B5EF4-FFF2-40B4-BE49-F238E27FC236}">
                <a16:creationId xmlns:a16="http://schemas.microsoft.com/office/drawing/2014/main" id="{00000000-0008-0000-0B00-00009C1B1000}"/>
              </a:ext>
            </a:extLst>
          </xdr:cNvPr>
          <xdr:cNvSpPr>
            <a:spLocks noChangeShapeType="1"/>
          </xdr:cNvSpPr>
        </xdr:nvSpPr>
        <xdr:spPr bwMode="auto">
          <a:xfrm>
            <a:off x="517" y="3074"/>
            <a:ext cx="113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5" name="Line 17">
            <a:extLst>
              <a:ext uri="{FF2B5EF4-FFF2-40B4-BE49-F238E27FC236}">
                <a16:creationId xmlns:a16="http://schemas.microsoft.com/office/drawing/2014/main" id="{00000000-0008-0000-0B00-00009D1B1000}"/>
              </a:ext>
            </a:extLst>
          </xdr:cNvPr>
          <xdr:cNvSpPr>
            <a:spLocks noChangeShapeType="1"/>
          </xdr:cNvSpPr>
        </xdr:nvSpPr>
        <xdr:spPr bwMode="auto">
          <a:xfrm>
            <a:off x="497" y="3120"/>
            <a:ext cx="18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6" name="Line 18">
            <a:extLst>
              <a:ext uri="{FF2B5EF4-FFF2-40B4-BE49-F238E27FC236}">
                <a16:creationId xmlns:a16="http://schemas.microsoft.com/office/drawing/2014/main" id="{00000000-0008-0000-0B00-00009E1B1000}"/>
              </a:ext>
            </a:extLst>
          </xdr:cNvPr>
          <xdr:cNvSpPr>
            <a:spLocks noChangeShapeType="1"/>
          </xdr:cNvSpPr>
        </xdr:nvSpPr>
        <xdr:spPr bwMode="auto">
          <a:xfrm>
            <a:off x="498" y="3167"/>
            <a:ext cx="21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647" name="Line 19">
            <a:extLst>
              <a:ext uri="{FF2B5EF4-FFF2-40B4-BE49-F238E27FC236}">
                <a16:creationId xmlns:a16="http://schemas.microsoft.com/office/drawing/2014/main" id="{00000000-0008-0000-0B00-00009F1B1000}"/>
              </a:ext>
            </a:extLst>
          </xdr:cNvPr>
          <xdr:cNvSpPr>
            <a:spLocks noChangeShapeType="1"/>
          </xdr:cNvSpPr>
        </xdr:nvSpPr>
        <xdr:spPr bwMode="auto">
          <a:xfrm>
            <a:off x="505" y="3117"/>
            <a:ext cx="0" cy="4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55648" name="Group 20">
            <a:extLst>
              <a:ext uri="{FF2B5EF4-FFF2-40B4-BE49-F238E27FC236}">
                <a16:creationId xmlns:a16="http://schemas.microsoft.com/office/drawing/2014/main" id="{00000000-0008-0000-0B00-0000A01B1000}"/>
              </a:ext>
            </a:extLst>
          </xdr:cNvPr>
          <xdr:cNvGrpSpPr>
            <a:grpSpLocks/>
          </xdr:cNvGrpSpPr>
        </xdr:nvGrpSpPr>
        <xdr:grpSpPr bwMode="auto">
          <a:xfrm>
            <a:off x="531" y="3115"/>
            <a:ext cx="10" cy="6"/>
            <a:chOff x="545" y="3239"/>
            <a:chExt cx="10" cy="6"/>
          </a:xfrm>
        </xdr:grpSpPr>
        <xdr:sp macro="" textlink="">
          <xdr:nvSpPr>
            <xdr:cNvPr id="1055685" name="Line 21">
              <a:extLst>
                <a:ext uri="{FF2B5EF4-FFF2-40B4-BE49-F238E27FC236}">
                  <a16:creationId xmlns:a16="http://schemas.microsoft.com/office/drawing/2014/main" id="{00000000-0008-0000-0B00-0000C5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86" name="Line 22">
              <a:extLst>
                <a:ext uri="{FF2B5EF4-FFF2-40B4-BE49-F238E27FC236}">
                  <a16:creationId xmlns:a16="http://schemas.microsoft.com/office/drawing/2014/main" id="{00000000-0008-0000-0B00-0000C6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49" name="Group 23">
            <a:extLst>
              <a:ext uri="{FF2B5EF4-FFF2-40B4-BE49-F238E27FC236}">
                <a16:creationId xmlns:a16="http://schemas.microsoft.com/office/drawing/2014/main" id="{00000000-0008-0000-0B00-0000A11B1000}"/>
              </a:ext>
            </a:extLst>
          </xdr:cNvPr>
          <xdr:cNvGrpSpPr>
            <a:grpSpLocks/>
          </xdr:cNvGrpSpPr>
        </xdr:nvGrpSpPr>
        <xdr:grpSpPr bwMode="auto">
          <a:xfrm>
            <a:off x="515" y="3114"/>
            <a:ext cx="10" cy="6"/>
            <a:chOff x="545" y="3239"/>
            <a:chExt cx="10" cy="6"/>
          </a:xfrm>
        </xdr:grpSpPr>
        <xdr:sp macro="" textlink="">
          <xdr:nvSpPr>
            <xdr:cNvPr id="1055683" name="Line 24">
              <a:extLst>
                <a:ext uri="{FF2B5EF4-FFF2-40B4-BE49-F238E27FC236}">
                  <a16:creationId xmlns:a16="http://schemas.microsoft.com/office/drawing/2014/main" id="{00000000-0008-0000-0B00-0000C3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84" name="Line 25">
              <a:extLst>
                <a:ext uri="{FF2B5EF4-FFF2-40B4-BE49-F238E27FC236}">
                  <a16:creationId xmlns:a16="http://schemas.microsoft.com/office/drawing/2014/main" id="{00000000-0008-0000-0B00-0000C4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0" name="Group 26">
            <a:extLst>
              <a:ext uri="{FF2B5EF4-FFF2-40B4-BE49-F238E27FC236}">
                <a16:creationId xmlns:a16="http://schemas.microsoft.com/office/drawing/2014/main" id="{00000000-0008-0000-0B00-0000A21B1000}"/>
              </a:ext>
            </a:extLst>
          </xdr:cNvPr>
          <xdr:cNvGrpSpPr>
            <a:grpSpLocks/>
          </xdr:cNvGrpSpPr>
        </xdr:nvGrpSpPr>
        <xdr:grpSpPr bwMode="auto">
          <a:xfrm>
            <a:off x="548" y="3115"/>
            <a:ext cx="10" cy="6"/>
            <a:chOff x="545" y="3239"/>
            <a:chExt cx="10" cy="6"/>
          </a:xfrm>
        </xdr:grpSpPr>
        <xdr:sp macro="" textlink="">
          <xdr:nvSpPr>
            <xdr:cNvPr id="1055681" name="Line 27">
              <a:extLst>
                <a:ext uri="{FF2B5EF4-FFF2-40B4-BE49-F238E27FC236}">
                  <a16:creationId xmlns:a16="http://schemas.microsoft.com/office/drawing/2014/main" id="{00000000-0008-0000-0B00-0000C1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82" name="Line 28">
              <a:extLst>
                <a:ext uri="{FF2B5EF4-FFF2-40B4-BE49-F238E27FC236}">
                  <a16:creationId xmlns:a16="http://schemas.microsoft.com/office/drawing/2014/main" id="{00000000-0008-0000-0B00-0000C2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1" name="Group 29">
            <a:extLst>
              <a:ext uri="{FF2B5EF4-FFF2-40B4-BE49-F238E27FC236}">
                <a16:creationId xmlns:a16="http://schemas.microsoft.com/office/drawing/2014/main" id="{00000000-0008-0000-0B00-0000A31B1000}"/>
              </a:ext>
            </a:extLst>
          </xdr:cNvPr>
          <xdr:cNvGrpSpPr>
            <a:grpSpLocks/>
          </xdr:cNvGrpSpPr>
        </xdr:nvGrpSpPr>
        <xdr:grpSpPr bwMode="auto">
          <a:xfrm>
            <a:off x="564" y="3113"/>
            <a:ext cx="10" cy="6"/>
            <a:chOff x="545" y="3239"/>
            <a:chExt cx="10" cy="6"/>
          </a:xfrm>
        </xdr:grpSpPr>
        <xdr:sp macro="" textlink="">
          <xdr:nvSpPr>
            <xdr:cNvPr id="1055679" name="Line 30">
              <a:extLst>
                <a:ext uri="{FF2B5EF4-FFF2-40B4-BE49-F238E27FC236}">
                  <a16:creationId xmlns:a16="http://schemas.microsoft.com/office/drawing/2014/main" id="{00000000-0008-0000-0B00-0000BF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80" name="Line 31">
              <a:extLst>
                <a:ext uri="{FF2B5EF4-FFF2-40B4-BE49-F238E27FC236}">
                  <a16:creationId xmlns:a16="http://schemas.microsoft.com/office/drawing/2014/main" id="{00000000-0008-0000-0B00-0000C0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2" name="Group 32">
            <a:extLst>
              <a:ext uri="{FF2B5EF4-FFF2-40B4-BE49-F238E27FC236}">
                <a16:creationId xmlns:a16="http://schemas.microsoft.com/office/drawing/2014/main" id="{00000000-0008-0000-0B00-0000A41B1000}"/>
              </a:ext>
            </a:extLst>
          </xdr:cNvPr>
          <xdr:cNvGrpSpPr>
            <a:grpSpLocks/>
          </xdr:cNvGrpSpPr>
        </xdr:nvGrpSpPr>
        <xdr:grpSpPr bwMode="auto">
          <a:xfrm>
            <a:off x="584" y="3113"/>
            <a:ext cx="10" cy="6"/>
            <a:chOff x="545" y="3239"/>
            <a:chExt cx="10" cy="6"/>
          </a:xfrm>
        </xdr:grpSpPr>
        <xdr:sp macro="" textlink="">
          <xdr:nvSpPr>
            <xdr:cNvPr id="1055677" name="Line 33">
              <a:extLst>
                <a:ext uri="{FF2B5EF4-FFF2-40B4-BE49-F238E27FC236}">
                  <a16:creationId xmlns:a16="http://schemas.microsoft.com/office/drawing/2014/main" id="{00000000-0008-0000-0B00-0000BD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78" name="Line 34">
              <a:extLst>
                <a:ext uri="{FF2B5EF4-FFF2-40B4-BE49-F238E27FC236}">
                  <a16:creationId xmlns:a16="http://schemas.microsoft.com/office/drawing/2014/main" id="{00000000-0008-0000-0B00-0000BE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3" name="Group 35">
            <a:extLst>
              <a:ext uri="{FF2B5EF4-FFF2-40B4-BE49-F238E27FC236}">
                <a16:creationId xmlns:a16="http://schemas.microsoft.com/office/drawing/2014/main" id="{00000000-0008-0000-0B00-0000A51B1000}"/>
              </a:ext>
            </a:extLst>
          </xdr:cNvPr>
          <xdr:cNvGrpSpPr>
            <a:grpSpLocks/>
          </xdr:cNvGrpSpPr>
        </xdr:nvGrpSpPr>
        <xdr:grpSpPr bwMode="auto">
          <a:xfrm>
            <a:off x="600" y="3114"/>
            <a:ext cx="10" cy="6"/>
            <a:chOff x="545" y="3239"/>
            <a:chExt cx="10" cy="6"/>
          </a:xfrm>
        </xdr:grpSpPr>
        <xdr:sp macro="" textlink="">
          <xdr:nvSpPr>
            <xdr:cNvPr id="1055675" name="Line 36">
              <a:extLst>
                <a:ext uri="{FF2B5EF4-FFF2-40B4-BE49-F238E27FC236}">
                  <a16:creationId xmlns:a16="http://schemas.microsoft.com/office/drawing/2014/main" id="{00000000-0008-0000-0B00-0000BB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76" name="Line 37">
              <a:extLst>
                <a:ext uri="{FF2B5EF4-FFF2-40B4-BE49-F238E27FC236}">
                  <a16:creationId xmlns:a16="http://schemas.microsoft.com/office/drawing/2014/main" id="{00000000-0008-0000-0B00-0000BC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4" name="Group 38">
            <a:extLst>
              <a:ext uri="{FF2B5EF4-FFF2-40B4-BE49-F238E27FC236}">
                <a16:creationId xmlns:a16="http://schemas.microsoft.com/office/drawing/2014/main" id="{00000000-0008-0000-0B00-0000A61B1000}"/>
              </a:ext>
            </a:extLst>
          </xdr:cNvPr>
          <xdr:cNvGrpSpPr>
            <a:grpSpLocks/>
          </xdr:cNvGrpSpPr>
        </xdr:nvGrpSpPr>
        <xdr:grpSpPr bwMode="auto">
          <a:xfrm>
            <a:off x="617" y="3113"/>
            <a:ext cx="10" cy="6"/>
            <a:chOff x="545" y="3239"/>
            <a:chExt cx="10" cy="6"/>
          </a:xfrm>
        </xdr:grpSpPr>
        <xdr:sp macro="" textlink="">
          <xdr:nvSpPr>
            <xdr:cNvPr id="1055673" name="Line 39">
              <a:extLst>
                <a:ext uri="{FF2B5EF4-FFF2-40B4-BE49-F238E27FC236}">
                  <a16:creationId xmlns:a16="http://schemas.microsoft.com/office/drawing/2014/main" id="{00000000-0008-0000-0B00-0000B9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74" name="Line 40">
              <a:extLst>
                <a:ext uri="{FF2B5EF4-FFF2-40B4-BE49-F238E27FC236}">
                  <a16:creationId xmlns:a16="http://schemas.microsoft.com/office/drawing/2014/main" id="{00000000-0008-0000-0B00-0000BA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5" name="Group 41">
            <a:extLst>
              <a:ext uri="{FF2B5EF4-FFF2-40B4-BE49-F238E27FC236}">
                <a16:creationId xmlns:a16="http://schemas.microsoft.com/office/drawing/2014/main" id="{00000000-0008-0000-0B00-0000A71B1000}"/>
              </a:ext>
            </a:extLst>
          </xdr:cNvPr>
          <xdr:cNvGrpSpPr>
            <a:grpSpLocks/>
          </xdr:cNvGrpSpPr>
        </xdr:nvGrpSpPr>
        <xdr:grpSpPr bwMode="auto">
          <a:xfrm>
            <a:off x="630" y="3123"/>
            <a:ext cx="7" cy="9"/>
            <a:chOff x="653" y="3197"/>
            <a:chExt cx="7" cy="9"/>
          </a:xfrm>
        </xdr:grpSpPr>
        <xdr:sp macro="" textlink="">
          <xdr:nvSpPr>
            <xdr:cNvPr id="1055671" name="Line 42">
              <a:extLst>
                <a:ext uri="{FF2B5EF4-FFF2-40B4-BE49-F238E27FC236}">
                  <a16:creationId xmlns:a16="http://schemas.microsoft.com/office/drawing/2014/main" id="{00000000-0008-0000-0B00-0000B7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72" name="Line 43">
              <a:extLst>
                <a:ext uri="{FF2B5EF4-FFF2-40B4-BE49-F238E27FC236}">
                  <a16:creationId xmlns:a16="http://schemas.microsoft.com/office/drawing/2014/main" id="{00000000-0008-0000-0B00-0000B8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6" name="Group 44">
            <a:extLst>
              <a:ext uri="{FF2B5EF4-FFF2-40B4-BE49-F238E27FC236}">
                <a16:creationId xmlns:a16="http://schemas.microsoft.com/office/drawing/2014/main" id="{00000000-0008-0000-0B00-0000A81B1000}"/>
              </a:ext>
            </a:extLst>
          </xdr:cNvPr>
          <xdr:cNvGrpSpPr>
            <a:grpSpLocks/>
          </xdr:cNvGrpSpPr>
        </xdr:nvGrpSpPr>
        <xdr:grpSpPr bwMode="auto">
          <a:xfrm>
            <a:off x="629" y="3140"/>
            <a:ext cx="7" cy="9"/>
            <a:chOff x="653" y="3197"/>
            <a:chExt cx="7" cy="9"/>
          </a:xfrm>
        </xdr:grpSpPr>
        <xdr:sp macro="" textlink="">
          <xdr:nvSpPr>
            <xdr:cNvPr id="1055669" name="Line 45">
              <a:extLst>
                <a:ext uri="{FF2B5EF4-FFF2-40B4-BE49-F238E27FC236}">
                  <a16:creationId xmlns:a16="http://schemas.microsoft.com/office/drawing/2014/main" id="{00000000-0008-0000-0B00-0000B5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70" name="Line 46">
              <a:extLst>
                <a:ext uri="{FF2B5EF4-FFF2-40B4-BE49-F238E27FC236}">
                  <a16:creationId xmlns:a16="http://schemas.microsoft.com/office/drawing/2014/main" id="{00000000-0008-0000-0B00-0000B6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7" name="Group 47">
            <a:extLst>
              <a:ext uri="{FF2B5EF4-FFF2-40B4-BE49-F238E27FC236}">
                <a16:creationId xmlns:a16="http://schemas.microsoft.com/office/drawing/2014/main" id="{00000000-0008-0000-0B00-0000A91B1000}"/>
              </a:ext>
            </a:extLst>
          </xdr:cNvPr>
          <xdr:cNvGrpSpPr>
            <a:grpSpLocks/>
          </xdr:cNvGrpSpPr>
        </xdr:nvGrpSpPr>
        <xdr:grpSpPr bwMode="auto">
          <a:xfrm>
            <a:off x="629" y="3158"/>
            <a:ext cx="7" cy="9"/>
            <a:chOff x="653" y="3197"/>
            <a:chExt cx="7" cy="9"/>
          </a:xfrm>
        </xdr:grpSpPr>
        <xdr:sp macro="" textlink="">
          <xdr:nvSpPr>
            <xdr:cNvPr id="1055667" name="Line 48">
              <a:extLst>
                <a:ext uri="{FF2B5EF4-FFF2-40B4-BE49-F238E27FC236}">
                  <a16:creationId xmlns:a16="http://schemas.microsoft.com/office/drawing/2014/main" id="{00000000-0008-0000-0B00-0000B3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68" name="Line 49">
              <a:extLst>
                <a:ext uri="{FF2B5EF4-FFF2-40B4-BE49-F238E27FC236}">
                  <a16:creationId xmlns:a16="http://schemas.microsoft.com/office/drawing/2014/main" id="{00000000-0008-0000-0B00-0000B4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8" name="Group 50">
            <a:extLst>
              <a:ext uri="{FF2B5EF4-FFF2-40B4-BE49-F238E27FC236}">
                <a16:creationId xmlns:a16="http://schemas.microsoft.com/office/drawing/2014/main" id="{00000000-0008-0000-0B00-0000AA1B1000}"/>
              </a:ext>
            </a:extLst>
          </xdr:cNvPr>
          <xdr:cNvGrpSpPr>
            <a:grpSpLocks/>
          </xdr:cNvGrpSpPr>
        </xdr:nvGrpSpPr>
        <xdr:grpSpPr bwMode="auto">
          <a:xfrm>
            <a:off x="511" y="3140"/>
            <a:ext cx="7" cy="9"/>
            <a:chOff x="653" y="3197"/>
            <a:chExt cx="7" cy="9"/>
          </a:xfrm>
        </xdr:grpSpPr>
        <xdr:sp macro="" textlink="">
          <xdr:nvSpPr>
            <xdr:cNvPr id="1055665" name="Line 51">
              <a:extLst>
                <a:ext uri="{FF2B5EF4-FFF2-40B4-BE49-F238E27FC236}">
                  <a16:creationId xmlns:a16="http://schemas.microsoft.com/office/drawing/2014/main" id="{00000000-0008-0000-0B00-0000B1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66" name="Line 52">
              <a:extLst>
                <a:ext uri="{FF2B5EF4-FFF2-40B4-BE49-F238E27FC236}">
                  <a16:creationId xmlns:a16="http://schemas.microsoft.com/office/drawing/2014/main" id="{00000000-0008-0000-0B00-0000B2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59" name="Group 53">
            <a:extLst>
              <a:ext uri="{FF2B5EF4-FFF2-40B4-BE49-F238E27FC236}">
                <a16:creationId xmlns:a16="http://schemas.microsoft.com/office/drawing/2014/main" id="{00000000-0008-0000-0B00-0000AB1B1000}"/>
              </a:ext>
            </a:extLst>
          </xdr:cNvPr>
          <xdr:cNvGrpSpPr>
            <a:grpSpLocks/>
          </xdr:cNvGrpSpPr>
        </xdr:nvGrpSpPr>
        <xdr:grpSpPr bwMode="auto">
          <a:xfrm>
            <a:off x="511" y="3121"/>
            <a:ext cx="7" cy="9"/>
            <a:chOff x="653" y="3197"/>
            <a:chExt cx="7" cy="9"/>
          </a:xfrm>
        </xdr:grpSpPr>
        <xdr:sp macro="" textlink="">
          <xdr:nvSpPr>
            <xdr:cNvPr id="1055663" name="Line 54">
              <a:extLst>
                <a:ext uri="{FF2B5EF4-FFF2-40B4-BE49-F238E27FC236}">
                  <a16:creationId xmlns:a16="http://schemas.microsoft.com/office/drawing/2014/main" id="{00000000-0008-0000-0B00-0000AF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64" name="Line 55">
              <a:extLst>
                <a:ext uri="{FF2B5EF4-FFF2-40B4-BE49-F238E27FC236}">
                  <a16:creationId xmlns:a16="http://schemas.microsoft.com/office/drawing/2014/main" id="{00000000-0008-0000-0B00-0000B0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055660" name="Group 56">
            <a:extLst>
              <a:ext uri="{FF2B5EF4-FFF2-40B4-BE49-F238E27FC236}">
                <a16:creationId xmlns:a16="http://schemas.microsoft.com/office/drawing/2014/main" id="{00000000-0008-0000-0B00-0000AC1B1000}"/>
              </a:ext>
            </a:extLst>
          </xdr:cNvPr>
          <xdr:cNvGrpSpPr>
            <a:grpSpLocks/>
          </xdr:cNvGrpSpPr>
        </xdr:nvGrpSpPr>
        <xdr:grpSpPr bwMode="auto">
          <a:xfrm>
            <a:off x="511" y="3158"/>
            <a:ext cx="7" cy="9"/>
            <a:chOff x="653" y="3197"/>
            <a:chExt cx="7" cy="9"/>
          </a:xfrm>
        </xdr:grpSpPr>
        <xdr:sp macro="" textlink="">
          <xdr:nvSpPr>
            <xdr:cNvPr id="1055661" name="Line 57">
              <a:extLst>
                <a:ext uri="{FF2B5EF4-FFF2-40B4-BE49-F238E27FC236}">
                  <a16:creationId xmlns:a16="http://schemas.microsoft.com/office/drawing/2014/main" id="{00000000-0008-0000-0B00-0000AD1B1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5662" name="Line 58">
              <a:extLst>
                <a:ext uri="{FF2B5EF4-FFF2-40B4-BE49-F238E27FC236}">
                  <a16:creationId xmlns:a16="http://schemas.microsoft.com/office/drawing/2014/main" id="{00000000-0008-0000-0B00-0000AE1B1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292421</xdr:colOff>
      <xdr:row>131</xdr:row>
      <xdr:rowOff>244292</xdr:rowOff>
    </xdr:from>
    <xdr:to>
      <xdr:col>8</xdr:col>
      <xdr:colOff>426351</xdr:colOff>
      <xdr:row>150</xdr:row>
      <xdr:rowOff>55697</xdr:rowOff>
    </xdr:to>
    <xdr:grpSp>
      <xdr:nvGrpSpPr>
        <xdr:cNvPr id="1055527" name="Group 174">
          <a:extLst>
            <a:ext uri="{FF2B5EF4-FFF2-40B4-BE49-F238E27FC236}">
              <a16:creationId xmlns:a16="http://schemas.microsoft.com/office/drawing/2014/main" id="{00000000-0008-0000-0B00-0000271B1000}"/>
            </a:ext>
          </a:extLst>
        </xdr:cNvPr>
        <xdr:cNvGrpSpPr>
          <a:grpSpLocks/>
        </xdr:cNvGrpSpPr>
      </xdr:nvGrpSpPr>
      <xdr:grpSpPr bwMode="auto">
        <a:xfrm>
          <a:off x="292421" y="23736300"/>
          <a:ext cx="6198180" cy="0"/>
          <a:chOff x="67" y="3604"/>
          <a:chExt cx="476" cy="354"/>
        </a:xfrm>
      </xdr:grpSpPr>
      <xdr:sp macro="" textlink="">
        <xdr:nvSpPr>
          <xdr:cNvPr id="1055545" name="Rectangle 175">
            <a:extLst>
              <a:ext uri="{FF2B5EF4-FFF2-40B4-BE49-F238E27FC236}">
                <a16:creationId xmlns:a16="http://schemas.microsoft.com/office/drawing/2014/main" id="{00000000-0008-0000-0B00-0000391B1000}"/>
              </a:ext>
            </a:extLst>
          </xdr:cNvPr>
          <xdr:cNvSpPr>
            <a:spLocks noChangeArrowheads="1"/>
          </xdr:cNvSpPr>
        </xdr:nvSpPr>
        <xdr:spPr bwMode="auto">
          <a:xfrm>
            <a:off x="67" y="3609"/>
            <a:ext cx="336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5546" name="Rectangle 176">
            <a:extLst>
              <a:ext uri="{FF2B5EF4-FFF2-40B4-BE49-F238E27FC236}">
                <a16:creationId xmlns:a16="http://schemas.microsoft.com/office/drawing/2014/main" id="{00000000-0008-0000-0B00-00003A1B1000}"/>
              </a:ext>
            </a:extLst>
          </xdr:cNvPr>
          <xdr:cNvSpPr>
            <a:spLocks noChangeArrowheads="1"/>
          </xdr:cNvSpPr>
        </xdr:nvSpPr>
        <xdr:spPr bwMode="auto">
          <a:xfrm>
            <a:off x="147" y="3609"/>
            <a:ext cx="22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5547" name="Rectangle 177">
            <a:extLst>
              <a:ext uri="{FF2B5EF4-FFF2-40B4-BE49-F238E27FC236}">
                <a16:creationId xmlns:a16="http://schemas.microsoft.com/office/drawing/2014/main" id="{00000000-0008-0000-0B00-00003B1B1000}"/>
              </a:ext>
            </a:extLst>
          </xdr:cNvPr>
          <xdr:cNvSpPr>
            <a:spLocks noChangeArrowheads="1"/>
          </xdr:cNvSpPr>
        </xdr:nvSpPr>
        <xdr:spPr bwMode="auto">
          <a:xfrm>
            <a:off x="302" y="3609"/>
            <a:ext cx="22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5548" name="Rectangle 178">
            <a:extLst>
              <a:ext uri="{FF2B5EF4-FFF2-40B4-BE49-F238E27FC236}">
                <a16:creationId xmlns:a16="http://schemas.microsoft.com/office/drawing/2014/main" id="{00000000-0008-0000-0B00-00003C1B1000}"/>
              </a:ext>
            </a:extLst>
          </xdr:cNvPr>
          <xdr:cNvSpPr>
            <a:spLocks noChangeArrowheads="1"/>
          </xdr:cNvSpPr>
        </xdr:nvSpPr>
        <xdr:spPr bwMode="auto">
          <a:xfrm>
            <a:off x="67" y="3854"/>
            <a:ext cx="336" cy="21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5549" name="Rectangle 179">
            <a:extLst>
              <a:ext uri="{FF2B5EF4-FFF2-40B4-BE49-F238E27FC236}">
                <a16:creationId xmlns:a16="http://schemas.microsoft.com/office/drawing/2014/main" id="{00000000-0008-0000-0B00-00003D1B1000}"/>
              </a:ext>
            </a:extLst>
          </xdr:cNvPr>
          <xdr:cNvSpPr>
            <a:spLocks noChangeArrowheads="1"/>
          </xdr:cNvSpPr>
        </xdr:nvSpPr>
        <xdr:spPr bwMode="auto">
          <a:xfrm>
            <a:off x="67" y="3688"/>
            <a:ext cx="336" cy="20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55550" name="Rectangle 180">
            <a:extLst>
              <a:ext uri="{FF2B5EF4-FFF2-40B4-BE49-F238E27FC236}">
                <a16:creationId xmlns:a16="http://schemas.microsoft.com/office/drawing/2014/main" id="{00000000-0008-0000-0B00-00003E1B1000}"/>
              </a:ext>
            </a:extLst>
          </xdr:cNvPr>
          <xdr:cNvSpPr>
            <a:spLocks noChangeArrowheads="1"/>
          </xdr:cNvSpPr>
        </xdr:nvSpPr>
        <xdr:spPr bwMode="auto">
          <a:xfrm>
            <a:off x="207" y="3749"/>
            <a:ext cx="61" cy="62"/>
          </a:xfrm>
          <a:prstGeom prst="rect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5551" name="Line 181">
            <a:extLst>
              <a:ext uri="{FF2B5EF4-FFF2-40B4-BE49-F238E27FC236}">
                <a16:creationId xmlns:a16="http://schemas.microsoft.com/office/drawing/2014/main" id="{00000000-0008-0000-0B00-00003F1B1000}"/>
              </a:ext>
            </a:extLst>
          </xdr:cNvPr>
          <xdr:cNvSpPr>
            <a:spLocks noChangeShapeType="1"/>
          </xdr:cNvSpPr>
        </xdr:nvSpPr>
        <xdr:spPr bwMode="auto">
          <a:xfrm>
            <a:off x="324" y="3875"/>
            <a:ext cx="8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2" name="Line 182">
            <a:extLst>
              <a:ext uri="{FF2B5EF4-FFF2-40B4-BE49-F238E27FC236}">
                <a16:creationId xmlns:a16="http://schemas.microsoft.com/office/drawing/2014/main" id="{00000000-0008-0000-0B00-000040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24" y="3785"/>
            <a:ext cx="79" cy="7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3" name="Line 183">
            <a:extLst>
              <a:ext uri="{FF2B5EF4-FFF2-40B4-BE49-F238E27FC236}">
                <a16:creationId xmlns:a16="http://schemas.microsoft.com/office/drawing/2014/main" id="{00000000-0008-0000-0B00-0000411B1000}"/>
              </a:ext>
            </a:extLst>
          </xdr:cNvPr>
          <xdr:cNvSpPr>
            <a:spLocks noChangeShapeType="1"/>
          </xdr:cNvSpPr>
        </xdr:nvSpPr>
        <xdr:spPr bwMode="auto">
          <a:xfrm>
            <a:off x="267" y="3811"/>
            <a:ext cx="36" cy="48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4" name="Line 184">
            <a:extLst>
              <a:ext uri="{FF2B5EF4-FFF2-40B4-BE49-F238E27FC236}">
                <a16:creationId xmlns:a16="http://schemas.microsoft.com/office/drawing/2014/main" id="{00000000-0008-0000-0B00-000042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47" y="3877"/>
            <a:ext cx="56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5" name="Line 185">
            <a:extLst>
              <a:ext uri="{FF2B5EF4-FFF2-40B4-BE49-F238E27FC236}">
                <a16:creationId xmlns:a16="http://schemas.microsoft.com/office/drawing/2014/main" id="{00000000-0008-0000-0B00-000043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67" y="3709"/>
            <a:ext cx="34" cy="4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6" name="Line 186">
            <a:extLst>
              <a:ext uri="{FF2B5EF4-FFF2-40B4-BE49-F238E27FC236}">
                <a16:creationId xmlns:a16="http://schemas.microsoft.com/office/drawing/2014/main" id="{00000000-0008-0000-0B00-0000441B1000}"/>
              </a:ext>
            </a:extLst>
          </xdr:cNvPr>
          <xdr:cNvSpPr>
            <a:spLocks noChangeShapeType="1"/>
          </xdr:cNvSpPr>
        </xdr:nvSpPr>
        <xdr:spPr bwMode="auto">
          <a:xfrm>
            <a:off x="324" y="3708"/>
            <a:ext cx="79" cy="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7" name="Line 187">
            <a:extLst>
              <a:ext uri="{FF2B5EF4-FFF2-40B4-BE49-F238E27FC236}">
                <a16:creationId xmlns:a16="http://schemas.microsoft.com/office/drawing/2014/main" id="{00000000-0008-0000-0B00-000045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23" y="3608"/>
            <a:ext cx="8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8" name="Line 188">
            <a:extLst>
              <a:ext uri="{FF2B5EF4-FFF2-40B4-BE49-F238E27FC236}">
                <a16:creationId xmlns:a16="http://schemas.microsoft.com/office/drawing/2014/main" id="{00000000-0008-0000-0B00-0000461B1000}"/>
              </a:ext>
            </a:extLst>
          </xdr:cNvPr>
          <xdr:cNvSpPr>
            <a:spLocks noChangeShapeType="1"/>
          </xdr:cNvSpPr>
        </xdr:nvSpPr>
        <xdr:spPr bwMode="auto">
          <a:xfrm>
            <a:off x="236" y="3609"/>
            <a:ext cx="67" cy="8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59" name="Line 189">
            <a:extLst>
              <a:ext uri="{FF2B5EF4-FFF2-40B4-BE49-F238E27FC236}">
                <a16:creationId xmlns:a16="http://schemas.microsoft.com/office/drawing/2014/main" id="{00000000-0008-0000-0B00-0000471B1000}"/>
              </a:ext>
            </a:extLst>
          </xdr:cNvPr>
          <xdr:cNvSpPr>
            <a:spLocks noChangeShapeType="1"/>
          </xdr:cNvSpPr>
        </xdr:nvSpPr>
        <xdr:spPr bwMode="auto">
          <a:xfrm>
            <a:off x="541" y="3604"/>
            <a:ext cx="0" cy="3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0" name="Line 190">
            <a:extLst>
              <a:ext uri="{FF2B5EF4-FFF2-40B4-BE49-F238E27FC236}">
                <a16:creationId xmlns:a16="http://schemas.microsoft.com/office/drawing/2014/main" id="{00000000-0008-0000-0B00-0000481B1000}"/>
              </a:ext>
            </a:extLst>
          </xdr:cNvPr>
          <xdr:cNvSpPr>
            <a:spLocks noChangeShapeType="1"/>
          </xdr:cNvSpPr>
        </xdr:nvSpPr>
        <xdr:spPr bwMode="auto">
          <a:xfrm>
            <a:off x="473" y="3958"/>
            <a:ext cx="7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1" name="Line 191">
            <a:extLst>
              <a:ext uri="{FF2B5EF4-FFF2-40B4-BE49-F238E27FC236}">
                <a16:creationId xmlns:a16="http://schemas.microsoft.com/office/drawing/2014/main" id="{00000000-0008-0000-0B00-000049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74" y="3865"/>
            <a:ext cx="66" cy="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2" name="Line 192">
            <a:extLst>
              <a:ext uri="{FF2B5EF4-FFF2-40B4-BE49-F238E27FC236}">
                <a16:creationId xmlns:a16="http://schemas.microsoft.com/office/drawing/2014/main" id="{00000000-0008-0000-0B00-00004A1B1000}"/>
              </a:ext>
            </a:extLst>
          </xdr:cNvPr>
          <xdr:cNvSpPr>
            <a:spLocks noChangeShapeType="1"/>
          </xdr:cNvSpPr>
        </xdr:nvSpPr>
        <xdr:spPr bwMode="auto">
          <a:xfrm>
            <a:off x="471" y="3790"/>
            <a:ext cx="70" cy="7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3" name="Line 193">
            <a:extLst>
              <a:ext uri="{FF2B5EF4-FFF2-40B4-BE49-F238E27FC236}">
                <a16:creationId xmlns:a16="http://schemas.microsoft.com/office/drawing/2014/main" id="{00000000-0008-0000-0B00-00004B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70" y="3699"/>
            <a:ext cx="70" cy="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4" name="Line 194">
            <a:extLst>
              <a:ext uri="{FF2B5EF4-FFF2-40B4-BE49-F238E27FC236}">
                <a16:creationId xmlns:a16="http://schemas.microsoft.com/office/drawing/2014/main" id="{00000000-0008-0000-0B00-00004C1B1000}"/>
              </a:ext>
            </a:extLst>
          </xdr:cNvPr>
          <xdr:cNvSpPr>
            <a:spLocks noChangeShapeType="1"/>
          </xdr:cNvSpPr>
        </xdr:nvSpPr>
        <xdr:spPr bwMode="auto">
          <a:xfrm>
            <a:off x="473" y="3604"/>
            <a:ext cx="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5" name="Line 195">
            <a:extLst>
              <a:ext uri="{FF2B5EF4-FFF2-40B4-BE49-F238E27FC236}">
                <a16:creationId xmlns:a16="http://schemas.microsoft.com/office/drawing/2014/main" id="{00000000-0008-0000-0B00-00004D1B1000}"/>
              </a:ext>
            </a:extLst>
          </xdr:cNvPr>
          <xdr:cNvSpPr>
            <a:spLocks noChangeShapeType="1"/>
          </xdr:cNvSpPr>
        </xdr:nvSpPr>
        <xdr:spPr bwMode="auto">
          <a:xfrm>
            <a:off x="473" y="3604"/>
            <a:ext cx="68" cy="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6" name="Line 196">
            <a:extLst>
              <a:ext uri="{FF2B5EF4-FFF2-40B4-BE49-F238E27FC236}">
                <a16:creationId xmlns:a16="http://schemas.microsoft.com/office/drawing/2014/main" id="{00000000-0008-0000-0B00-00004E1B1000}"/>
              </a:ext>
            </a:extLst>
          </xdr:cNvPr>
          <xdr:cNvSpPr>
            <a:spLocks noChangeShapeType="1"/>
          </xdr:cNvSpPr>
        </xdr:nvSpPr>
        <xdr:spPr bwMode="auto">
          <a:xfrm>
            <a:off x="471" y="3768"/>
            <a:ext cx="0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67" name="Rectangle 197">
            <a:extLst>
              <a:ext uri="{FF2B5EF4-FFF2-40B4-BE49-F238E27FC236}">
                <a16:creationId xmlns:a16="http://schemas.microsoft.com/office/drawing/2014/main" id="{00000000-0008-0000-0B00-00004F1B1000}"/>
              </a:ext>
            </a:extLst>
          </xdr:cNvPr>
          <xdr:cNvSpPr>
            <a:spLocks noChangeArrowheads="1"/>
          </xdr:cNvSpPr>
        </xdr:nvSpPr>
        <xdr:spPr bwMode="auto">
          <a:xfrm>
            <a:off x="139" y="3680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5568" name="Rectangle 198">
            <a:extLst>
              <a:ext uri="{FF2B5EF4-FFF2-40B4-BE49-F238E27FC236}">
                <a16:creationId xmlns:a16="http://schemas.microsoft.com/office/drawing/2014/main" id="{00000000-0008-0000-0B00-0000501B1000}"/>
              </a:ext>
            </a:extLst>
          </xdr:cNvPr>
          <xdr:cNvSpPr>
            <a:spLocks noChangeArrowheads="1"/>
          </xdr:cNvSpPr>
        </xdr:nvSpPr>
        <xdr:spPr bwMode="auto">
          <a:xfrm>
            <a:off x="294" y="3679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5569" name="Rectangle 199">
            <a:extLst>
              <a:ext uri="{FF2B5EF4-FFF2-40B4-BE49-F238E27FC236}">
                <a16:creationId xmlns:a16="http://schemas.microsoft.com/office/drawing/2014/main" id="{00000000-0008-0000-0B00-0000511B1000}"/>
              </a:ext>
            </a:extLst>
          </xdr:cNvPr>
          <xdr:cNvSpPr>
            <a:spLocks noChangeArrowheads="1"/>
          </xdr:cNvSpPr>
        </xdr:nvSpPr>
        <xdr:spPr bwMode="auto">
          <a:xfrm>
            <a:off x="292" y="3845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5570" name="Rectangle 200">
            <a:extLst>
              <a:ext uri="{FF2B5EF4-FFF2-40B4-BE49-F238E27FC236}">
                <a16:creationId xmlns:a16="http://schemas.microsoft.com/office/drawing/2014/main" id="{00000000-0008-0000-0B00-0000521B1000}"/>
              </a:ext>
            </a:extLst>
          </xdr:cNvPr>
          <xdr:cNvSpPr>
            <a:spLocks noChangeArrowheads="1"/>
          </xdr:cNvSpPr>
        </xdr:nvSpPr>
        <xdr:spPr bwMode="auto">
          <a:xfrm>
            <a:off x="139" y="3844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76</xdr:row>
      <xdr:rowOff>76200</xdr:rowOff>
    </xdr:from>
    <xdr:to>
      <xdr:col>9</xdr:col>
      <xdr:colOff>9525</xdr:colOff>
      <xdr:row>82</xdr:row>
      <xdr:rowOff>0</xdr:rowOff>
    </xdr:to>
    <xdr:grpSp>
      <xdr:nvGrpSpPr>
        <xdr:cNvPr id="1055528" name="Group 201">
          <a:extLst>
            <a:ext uri="{FF2B5EF4-FFF2-40B4-BE49-F238E27FC236}">
              <a16:creationId xmlns:a16="http://schemas.microsoft.com/office/drawing/2014/main" id="{00000000-0008-0000-0B00-0000281B1000}"/>
            </a:ext>
          </a:extLst>
        </xdr:cNvPr>
        <xdr:cNvGrpSpPr>
          <a:grpSpLocks/>
        </xdr:cNvGrpSpPr>
      </xdr:nvGrpSpPr>
      <xdr:grpSpPr bwMode="auto">
        <a:xfrm>
          <a:off x="768350" y="18573750"/>
          <a:ext cx="5997575" cy="1409700"/>
          <a:chOff x="68" y="2526"/>
          <a:chExt cx="446" cy="100"/>
        </a:xfrm>
      </xdr:grpSpPr>
      <xdr:sp macro="" textlink="">
        <xdr:nvSpPr>
          <xdr:cNvPr id="1055533" name="Line 202">
            <a:extLst>
              <a:ext uri="{FF2B5EF4-FFF2-40B4-BE49-F238E27FC236}">
                <a16:creationId xmlns:a16="http://schemas.microsoft.com/office/drawing/2014/main" id="{00000000-0008-0000-0B00-00002D1B1000}"/>
              </a:ext>
            </a:extLst>
          </xdr:cNvPr>
          <xdr:cNvSpPr>
            <a:spLocks noChangeShapeType="1"/>
          </xdr:cNvSpPr>
        </xdr:nvSpPr>
        <xdr:spPr bwMode="auto">
          <a:xfrm>
            <a:off x="69" y="2564"/>
            <a:ext cx="44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34" name="Line 203">
            <a:extLst>
              <a:ext uri="{FF2B5EF4-FFF2-40B4-BE49-F238E27FC236}">
                <a16:creationId xmlns:a16="http://schemas.microsoft.com/office/drawing/2014/main" id="{00000000-0008-0000-0B00-00002E1B1000}"/>
              </a:ext>
            </a:extLst>
          </xdr:cNvPr>
          <xdr:cNvSpPr>
            <a:spLocks noChangeShapeType="1"/>
          </xdr:cNvSpPr>
        </xdr:nvSpPr>
        <xdr:spPr bwMode="auto">
          <a:xfrm>
            <a:off x="69" y="2547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35" name="Line 204">
            <a:extLst>
              <a:ext uri="{FF2B5EF4-FFF2-40B4-BE49-F238E27FC236}">
                <a16:creationId xmlns:a16="http://schemas.microsoft.com/office/drawing/2014/main" id="{00000000-0008-0000-0B00-00002F1B1000}"/>
              </a:ext>
            </a:extLst>
          </xdr:cNvPr>
          <xdr:cNvSpPr>
            <a:spLocks noChangeShapeType="1"/>
          </xdr:cNvSpPr>
        </xdr:nvSpPr>
        <xdr:spPr bwMode="auto">
          <a:xfrm>
            <a:off x="514" y="256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36" name="Line 205">
            <a:extLst>
              <a:ext uri="{FF2B5EF4-FFF2-40B4-BE49-F238E27FC236}">
                <a16:creationId xmlns:a16="http://schemas.microsoft.com/office/drawing/2014/main" id="{00000000-0008-0000-0B00-0000301B1000}"/>
              </a:ext>
            </a:extLst>
          </xdr:cNvPr>
          <xdr:cNvSpPr>
            <a:spLocks noChangeShapeType="1"/>
          </xdr:cNvSpPr>
        </xdr:nvSpPr>
        <xdr:spPr bwMode="auto">
          <a:xfrm>
            <a:off x="69" y="2546"/>
            <a:ext cx="444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37" name="Line 206">
            <a:extLst>
              <a:ext uri="{FF2B5EF4-FFF2-40B4-BE49-F238E27FC236}">
                <a16:creationId xmlns:a16="http://schemas.microsoft.com/office/drawing/2014/main" id="{00000000-0008-0000-0B00-0000311B1000}"/>
              </a:ext>
            </a:extLst>
          </xdr:cNvPr>
          <xdr:cNvSpPr>
            <a:spLocks noChangeShapeType="1"/>
          </xdr:cNvSpPr>
        </xdr:nvSpPr>
        <xdr:spPr bwMode="auto">
          <a:xfrm>
            <a:off x="139" y="2555"/>
            <a:ext cx="0" cy="1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38" name="Line 207">
            <a:extLst>
              <a:ext uri="{FF2B5EF4-FFF2-40B4-BE49-F238E27FC236}">
                <a16:creationId xmlns:a16="http://schemas.microsoft.com/office/drawing/2014/main" id="{00000000-0008-0000-0B00-0000321B1000}"/>
              </a:ext>
            </a:extLst>
          </xdr:cNvPr>
          <xdr:cNvSpPr>
            <a:spLocks noChangeShapeType="1"/>
          </xdr:cNvSpPr>
        </xdr:nvSpPr>
        <xdr:spPr bwMode="auto">
          <a:xfrm>
            <a:off x="158" y="2556"/>
            <a:ext cx="0" cy="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39" name="Line 208">
            <a:extLst>
              <a:ext uri="{FF2B5EF4-FFF2-40B4-BE49-F238E27FC236}">
                <a16:creationId xmlns:a16="http://schemas.microsoft.com/office/drawing/2014/main" id="{00000000-0008-0000-0B00-0000331B1000}"/>
              </a:ext>
            </a:extLst>
          </xdr:cNvPr>
          <xdr:cNvSpPr>
            <a:spLocks noChangeShapeType="1"/>
          </xdr:cNvSpPr>
        </xdr:nvSpPr>
        <xdr:spPr bwMode="auto">
          <a:xfrm>
            <a:off x="391" y="2563"/>
            <a:ext cx="0" cy="17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40" name="Line 209">
            <a:extLst>
              <a:ext uri="{FF2B5EF4-FFF2-40B4-BE49-F238E27FC236}">
                <a16:creationId xmlns:a16="http://schemas.microsoft.com/office/drawing/2014/main" id="{00000000-0008-0000-0B00-0000341B1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4" y="2563"/>
            <a:ext cx="1" cy="21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41" name="Line 210">
            <a:extLst>
              <a:ext uri="{FF2B5EF4-FFF2-40B4-BE49-F238E27FC236}">
                <a16:creationId xmlns:a16="http://schemas.microsoft.com/office/drawing/2014/main" id="{00000000-0008-0000-0B00-0000351B1000}"/>
              </a:ext>
            </a:extLst>
          </xdr:cNvPr>
          <xdr:cNvSpPr>
            <a:spLocks noChangeShapeType="1"/>
          </xdr:cNvSpPr>
        </xdr:nvSpPr>
        <xdr:spPr bwMode="auto">
          <a:xfrm>
            <a:off x="288" y="2526"/>
            <a:ext cx="0" cy="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42" name="Line 211">
            <a:extLst>
              <a:ext uri="{FF2B5EF4-FFF2-40B4-BE49-F238E27FC236}">
                <a16:creationId xmlns:a16="http://schemas.microsoft.com/office/drawing/2014/main" id="{00000000-0008-0000-0B00-0000361B1000}"/>
              </a:ext>
            </a:extLst>
          </xdr:cNvPr>
          <xdr:cNvSpPr>
            <a:spLocks noChangeShapeType="1"/>
          </xdr:cNvSpPr>
        </xdr:nvSpPr>
        <xdr:spPr bwMode="auto">
          <a:xfrm>
            <a:off x="68" y="2626"/>
            <a:ext cx="44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43" name="Line 212">
            <a:extLst>
              <a:ext uri="{FF2B5EF4-FFF2-40B4-BE49-F238E27FC236}">
                <a16:creationId xmlns:a16="http://schemas.microsoft.com/office/drawing/2014/main" id="{00000000-0008-0000-0B00-0000371B1000}"/>
              </a:ext>
            </a:extLst>
          </xdr:cNvPr>
          <xdr:cNvSpPr>
            <a:spLocks noChangeShapeType="1"/>
          </xdr:cNvSpPr>
        </xdr:nvSpPr>
        <xdr:spPr bwMode="auto">
          <a:xfrm>
            <a:off x="227" y="2609"/>
            <a:ext cx="28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5544" name="Line 213">
            <a:extLst>
              <a:ext uri="{FF2B5EF4-FFF2-40B4-BE49-F238E27FC236}">
                <a16:creationId xmlns:a16="http://schemas.microsoft.com/office/drawing/2014/main" id="{00000000-0008-0000-0B00-0000381B1000}"/>
              </a:ext>
            </a:extLst>
          </xdr:cNvPr>
          <xdr:cNvSpPr>
            <a:spLocks noChangeShapeType="1"/>
          </xdr:cNvSpPr>
        </xdr:nvSpPr>
        <xdr:spPr bwMode="auto">
          <a:xfrm>
            <a:off x="227" y="2594"/>
            <a:ext cx="5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25400</xdr:colOff>
          <xdr:row>169</xdr:row>
          <xdr:rowOff>234950</xdr:rowOff>
        </xdr:from>
        <xdr:to>
          <xdr:col>11</xdr:col>
          <xdr:colOff>349250</xdr:colOff>
          <xdr:row>177</xdr:row>
          <xdr:rowOff>88900</xdr:rowOff>
        </xdr:to>
        <xdr:sp macro="" textlink="">
          <xdr:nvSpPr>
            <xdr:cNvPr id="381967" name="Object 15" hidden="1">
              <a:extLst>
                <a:ext uri="{63B3BB69-23CF-44E3-9099-C40C66FF867C}">
                  <a14:compatExt spid="_x0000_s381967"/>
                </a:ext>
                <a:ext uri="{FF2B5EF4-FFF2-40B4-BE49-F238E27FC236}">
                  <a16:creationId xmlns:a16="http://schemas.microsoft.com/office/drawing/2014/main" id="{00000000-0008-0000-0300-00000FD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349250</xdr:colOff>
          <xdr:row>215</xdr:row>
          <xdr:rowOff>107950</xdr:rowOff>
        </xdr:from>
        <xdr:to>
          <xdr:col>11</xdr:col>
          <xdr:colOff>69850</xdr:colOff>
          <xdr:row>221</xdr:row>
          <xdr:rowOff>190500</xdr:rowOff>
        </xdr:to>
        <xdr:sp macro="" textlink="">
          <xdr:nvSpPr>
            <xdr:cNvPr id="381968" name="Object 16" hidden="1">
              <a:extLst>
                <a:ext uri="{63B3BB69-23CF-44E3-9099-C40C66FF867C}">
                  <a14:compatExt spid="_x0000_s381968"/>
                </a:ext>
                <a:ext uri="{FF2B5EF4-FFF2-40B4-BE49-F238E27FC236}">
                  <a16:creationId xmlns:a16="http://schemas.microsoft.com/office/drawing/2014/main" id="{00000000-0008-0000-0300-000010D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478486</xdr:colOff>
      <xdr:row>152</xdr:row>
      <xdr:rowOff>243200</xdr:rowOff>
    </xdr:from>
    <xdr:to>
      <xdr:col>19</xdr:col>
      <xdr:colOff>38714</xdr:colOff>
      <xdr:row>177</xdr:row>
      <xdr:rowOff>152005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63051" y="38508852"/>
          <a:ext cx="3544163" cy="2309831"/>
        </a:xfrm>
        <a:prstGeom prst="rect">
          <a:avLst/>
        </a:prstGeom>
      </xdr:spPr>
    </xdr:pic>
    <xdr:clientData/>
  </xdr:twoCellAnchor>
  <xdr:twoCellAnchor editAs="oneCell">
    <xdr:from>
      <xdr:col>14</xdr:col>
      <xdr:colOff>638857</xdr:colOff>
      <xdr:row>167</xdr:row>
      <xdr:rowOff>85260</xdr:rowOff>
    </xdr:from>
    <xdr:to>
      <xdr:col>15</xdr:col>
      <xdr:colOff>589419</xdr:colOff>
      <xdr:row>170</xdr:row>
      <xdr:rowOff>7968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Object 12">
              <a:extLst>
                <a:ext uri="{FF2B5EF4-FFF2-40B4-BE49-F238E27FC236}">
                  <a16:creationId xmlns:a16="http://schemas.microsoft.com/office/drawing/2014/main" id="{00000000-0008-0000-0B00-0000B8000000}"/>
                </a:ext>
              </a:extLst>
            </xdr:cNvPr>
            <xdr:cNvSpPr txBox="1"/>
          </xdr:nvSpPr>
          <xdr:spPr>
            <a:xfrm>
              <a:off x="11392582" y="42300060"/>
              <a:ext cx="840197" cy="278796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=0.3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84" name="Object 12">
              <a:extLst>
                <a:ext uri="{FF2B5EF4-FFF2-40B4-BE49-F238E27FC236}">
                  <a16:creationId xmlns:a16="http://schemas.microsoft.com/office/drawing/2014/main" id="{00000000-0008-0000-0500-0000B8000000}"/>
                </a:ext>
              </a:extLst>
            </xdr:cNvPr>
            <xdr:cNvSpPr txBox="1"/>
          </xdr:nvSpPr>
          <xdr:spPr>
            <a:xfrm>
              <a:off x="11392582" y="42300060"/>
              <a:ext cx="840197" cy="278796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𝜑_𝑏1=0.3</a:t>
              </a:r>
              <a:endParaRPr lang="en-US"/>
            </a:p>
          </xdr:txBody>
        </xdr:sp>
      </mc:Fallback>
    </mc:AlternateContent>
    <xdr:clientData/>
  </xdr:twoCellAnchor>
  <xdr:twoCellAnchor editAs="oneCell">
    <xdr:from>
      <xdr:col>16</xdr:col>
      <xdr:colOff>74876</xdr:colOff>
      <xdr:row>193</xdr:row>
      <xdr:rowOff>237315</xdr:rowOff>
    </xdr:from>
    <xdr:to>
      <xdr:col>26</xdr:col>
      <xdr:colOff>230434</xdr:colOff>
      <xdr:row>236</xdr:row>
      <xdr:rowOff>20909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15963" y="45708837"/>
          <a:ext cx="7924646" cy="6537955"/>
        </a:xfrm>
        <a:prstGeom prst="rect">
          <a:avLst/>
        </a:prstGeom>
      </xdr:spPr>
    </xdr:pic>
    <xdr:clientData/>
  </xdr:twoCellAnchor>
  <xdr:twoCellAnchor editAs="oneCell">
    <xdr:from>
      <xdr:col>9</xdr:col>
      <xdr:colOff>272592</xdr:colOff>
      <xdr:row>240</xdr:row>
      <xdr:rowOff>126174</xdr:rowOff>
    </xdr:from>
    <xdr:to>
      <xdr:col>11</xdr:col>
      <xdr:colOff>249283</xdr:colOff>
      <xdr:row>242</xdr:row>
      <xdr:rowOff>96810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Object 13">
              <a:extLst>
                <a:ext uri="{FF2B5EF4-FFF2-40B4-BE49-F238E27FC236}">
                  <a16:creationId xmlns:a16="http://schemas.microsoft.com/office/drawing/2014/main" id="{00000000-0008-0000-0B00-0000BC000000}"/>
                </a:ext>
              </a:extLst>
            </xdr:cNvPr>
            <xdr:cNvSpPr txBox="1"/>
          </xdr:nvSpPr>
          <xdr:spPr>
            <a:xfrm>
              <a:off x="7216317" y="56923749"/>
              <a:ext cx="1334956" cy="45641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en-US">
                <a:solidFill>
                  <a:srgbClr val="000000"/>
                </a:solidFill>
              </a:endParaRPr>
            </a:p>
            <a:p>
              <a:endParaRPr lang="en-US"/>
            </a:p>
          </xdr:txBody>
        </xdr:sp>
      </mc:Choice>
      <mc:Fallback xmlns="">
        <xdr:sp macro="" textlink="">
          <xdr:nvSpPr>
            <xdr:cNvPr id="188" name="Object 13">
              <a:extLst>
                <a:ext uri="{FF2B5EF4-FFF2-40B4-BE49-F238E27FC236}">
                  <a16:creationId xmlns:a16="http://schemas.microsoft.com/office/drawing/2014/main" id="{00000000-0008-0000-0500-0000BC000000}"/>
                </a:ext>
              </a:extLst>
            </xdr:cNvPr>
            <xdr:cNvSpPr txBox="1"/>
          </xdr:nvSpPr>
          <xdr:spPr>
            <a:xfrm>
              <a:off x="7216317" y="56923749"/>
              <a:ext cx="1334956" cy="45641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𝑄≤𝜑_𝑏1.𝑅_𝑏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.ℎ_0</a:t>
              </a:r>
              <a:endParaRPr lang="en-US">
                <a:solidFill>
                  <a:srgbClr val="000000"/>
                </a:solidFill>
              </a:endParaRPr>
            </a:p>
            <a:p>
              <a:endParaRPr lang="en-US"/>
            </a:p>
          </xdr:txBody>
        </xdr:sp>
      </mc:Fallback>
    </mc:AlternateContent>
    <xdr:clientData/>
  </xdr:twoCellAnchor>
  <xdr:twoCellAnchor editAs="oneCell">
    <xdr:from>
      <xdr:col>12</xdr:col>
      <xdr:colOff>220463</xdr:colOff>
      <xdr:row>235</xdr:row>
      <xdr:rowOff>196964</xdr:rowOff>
    </xdr:from>
    <xdr:to>
      <xdr:col>12</xdr:col>
      <xdr:colOff>1086937</xdr:colOff>
      <xdr:row>236</xdr:row>
      <xdr:rowOff>207800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9" name="Object 12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 txBox="1"/>
          </xdr:nvSpPr>
          <xdr:spPr>
            <a:xfrm>
              <a:off x="9221588" y="56223014"/>
              <a:ext cx="857902" cy="290871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=0.3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89" name="Object 12">
              <a:extLst>
                <a:ext uri="{FF2B5EF4-FFF2-40B4-BE49-F238E27FC236}">
                  <a16:creationId xmlns:a16="http://schemas.microsoft.com/office/drawing/2014/main" id="{00000000-0008-0000-0500-0000BD000000}"/>
                </a:ext>
              </a:extLst>
            </xdr:cNvPr>
            <xdr:cNvSpPr txBox="1"/>
          </xdr:nvSpPr>
          <xdr:spPr>
            <a:xfrm>
              <a:off x="9221588" y="56223014"/>
              <a:ext cx="857902" cy="290871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𝜑_𝑏1=0.3</a:t>
              </a:r>
              <a:endParaRPr lang="en-US"/>
            </a:p>
          </xdr:txBody>
        </xdr:sp>
      </mc:Fallback>
    </mc:AlternateContent>
    <xdr:clientData/>
  </xdr:twoCellAnchor>
  <xdr:oneCellAnchor>
    <xdr:from>
      <xdr:col>4</xdr:col>
      <xdr:colOff>524029</xdr:colOff>
      <xdr:row>240</xdr:row>
      <xdr:rowOff>216610</xdr:rowOff>
    </xdr:from>
    <xdr:ext cx="1528088" cy="257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2" name="Object 13">
              <a:extLst>
                <a:ext uri="{FF2B5EF4-FFF2-40B4-BE49-F238E27FC236}">
                  <a16:creationId xmlns:a16="http://schemas.microsoft.com/office/drawing/2014/main" id="{00000000-0008-0000-0B00-0000C0000000}"/>
                </a:ext>
              </a:extLst>
            </xdr:cNvPr>
            <xdr:cNvSpPr txBox="1"/>
          </xdr:nvSpPr>
          <xdr:spPr>
            <a:xfrm>
              <a:off x="3505768" y="60348349"/>
              <a:ext cx="1528088" cy="257591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92" name="Object 13">
              <a:extLst>
                <a:ext uri="{FF2B5EF4-FFF2-40B4-BE49-F238E27FC236}">
                  <a16:creationId xmlns:a16="http://schemas.microsoft.com/office/drawing/2014/main" id="{EC785BC4-6669-4EF2-B259-1AF559CBA657}"/>
                </a:ext>
              </a:extLst>
            </xdr:cNvPr>
            <xdr:cNvSpPr txBox="1"/>
          </xdr:nvSpPr>
          <xdr:spPr>
            <a:xfrm>
              <a:off x="3505768" y="60348349"/>
              <a:ext cx="1528088" cy="257591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𝑄≤𝜑_𝑏1.𝑅_𝑏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.ℎ_0=</a:t>
              </a:r>
              <a:endParaRPr lang="en-US"/>
            </a:p>
          </xdr:txBody>
        </xdr:sp>
      </mc:Fallback>
    </mc:AlternateContent>
    <xdr:clientData/>
  </xdr:oneCellAnchor>
  <xdr:twoCellAnchor editAs="oneCell">
    <xdr:from>
      <xdr:col>1</xdr:col>
      <xdr:colOff>654740</xdr:colOff>
      <xdr:row>62</xdr:row>
      <xdr:rowOff>14494</xdr:rowOff>
    </xdr:from>
    <xdr:to>
      <xdr:col>3</xdr:col>
      <xdr:colOff>49562</xdr:colOff>
      <xdr:row>63</xdr:row>
      <xdr:rowOff>152659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1">
              <a:extLst>
                <a:ext uri="{63B3BB69-23CF-44E3-9099-C40C66FF867C}">
                  <a14:compatExt spid="_x0000_s381953"/>
                </a:ex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SpPr txBox="1"/>
          </xdr:nvSpPr>
          <xdr:spPr>
            <a:xfrm>
              <a:off x="1400175" y="15171668"/>
              <a:ext cx="1003333" cy="414128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𝑃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𝐺</m:t>
                        </m:r>
                      </m:num>
                      <m:den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𝐹</m:t>
                        </m:r>
                      </m:den>
                    </m:f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±</m:t>
                    </m:r>
                    <m:f>
                      <m:f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</m:nary>
                      </m:num>
                      <m:den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𝑊</m:t>
                        </m:r>
                      </m:den>
                    </m:f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4" name="Object 1">
              <a:extLst>
                <a:ext uri="{63B3BB69-23CF-44E3-9099-C40C66FF867C}">
                  <a14:compatExt xmlns:a14="http://schemas.microsoft.com/office/drawing/2010/main" spid="_x0000_s381953"/>
                </a:ex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 txBox="1"/>
          </xdr:nvSpPr>
          <xdr:spPr>
            <a:xfrm>
              <a:off x="1400175" y="15171668"/>
              <a:ext cx="1003333" cy="414128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𝑃=𝐺/𝐹±(∑▒𝑀)/𝑊</a:t>
              </a:r>
              <a:endParaRPr lang="en-US"/>
            </a:p>
          </xdr:txBody>
        </xdr:sp>
      </mc:Fallback>
    </mc:AlternateContent>
    <xdr:clientData/>
  </xdr:twoCellAnchor>
  <xdr:twoCellAnchor editAs="oneCell">
    <xdr:from>
      <xdr:col>12</xdr:col>
      <xdr:colOff>828627</xdr:colOff>
      <xdr:row>93</xdr:row>
      <xdr:rowOff>33617</xdr:rowOff>
    </xdr:from>
    <xdr:to>
      <xdr:col>13</xdr:col>
      <xdr:colOff>369981</xdr:colOff>
      <xdr:row>94</xdr:row>
      <xdr:rowOff>237510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Object 39">
              <a:extLst>
                <a:ext uri="{63B3BB69-23CF-44E3-9099-C40C66FF867C}">
                  <a14:compatExt spid="_x0000_s381991"/>
                </a:ex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SpPr txBox="1"/>
          </xdr:nvSpPr>
          <xdr:spPr>
            <a:xfrm>
              <a:off x="10577745" y="23291426"/>
              <a:ext cx="978135" cy="47601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𝑀</m:t>
                        </m:r>
                      </m:num>
                      <m:den>
                        <m:sSub>
                          <m:sSub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b>
                        </m:s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.</m:t>
                        </m:r>
                        <m:sSubSup>
                          <m:sSubSupPr>
                            <m:ctrlP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ℎ</m:t>
                            </m:r>
                          </m:e>
                          <m:sub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en-US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4" name="Object 39">
              <a:extLst>
                <a:ext uri="{63B3BB69-23CF-44E3-9099-C40C66FF867C}">
                  <a14:compatExt xmlns:a14="http://schemas.microsoft.com/office/drawing/2010/main" spid="_x0000_s381991"/>
                </a:ex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SpPr txBox="1"/>
          </xdr:nvSpPr>
          <xdr:spPr>
            <a:xfrm>
              <a:off x="10577745" y="23291426"/>
              <a:ext cx="978135" cy="47601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𝐴=𝑀/(𝑅_𝑛 𝑏.ℎ_0^2 )</a:t>
              </a:r>
              <a:endParaRPr lang="en-US"/>
            </a:p>
          </xdr:txBody>
        </xdr:sp>
      </mc:Fallback>
    </mc:AlternateContent>
    <xdr:clientData/>
  </xdr:twoCellAnchor>
  <xdr:twoCellAnchor>
    <xdr:from>
      <xdr:col>1</xdr:col>
      <xdr:colOff>476087</xdr:colOff>
      <xdr:row>50</xdr:row>
      <xdr:rowOff>172470</xdr:rowOff>
    </xdr:from>
    <xdr:to>
      <xdr:col>5</xdr:col>
      <xdr:colOff>152401</xdr:colOff>
      <xdr:row>52</xdr:row>
      <xdr:rowOff>112643</xdr:rowOff>
    </xdr:to>
    <xdr:pic>
      <xdr:nvPicPr>
        <xdr:cNvPr id="198" name="Picture 4221974">
          <a:extLst>
            <a:ext uri="{FF2B5EF4-FFF2-40B4-BE49-F238E27FC236}">
              <a16:creationId xmlns:a16="http://schemas.microsoft.com/office/drawing/2014/main" id="{00000000-0008-0000-0B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209" y="12510244"/>
          <a:ext cx="2797201" cy="443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569843</xdr:colOff>
      <xdr:row>50</xdr:row>
      <xdr:rowOff>172942</xdr:rowOff>
    </xdr:from>
    <xdr:to>
      <xdr:col>11</xdr:col>
      <xdr:colOff>398558</xdr:colOff>
      <xdr:row>52</xdr:row>
      <xdr:rowOff>110324</xdr:rowOff>
    </xdr:to>
    <xdr:pic>
      <xdr:nvPicPr>
        <xdr:cNvPr id="200" name="Picture 4221973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3113" y="12510716"/>
          <a:ext cx="2797202" cy="440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190500</xdr:colOff>
      <xdr:row>56</xdr:row>
      <xdr:rowOff>38100</xdr:rowOff>
    </xdr:from>
    <xdr:to>
      <xdr:col>14</xdr:col>
      <xdr:colOff>715852</xdr:colOff>
      <xdr:row>57</xdr:row>
      <xdr:rowOff>57149</xdr:rowOff>
    </xdr:to>
    <xdr:sp macro="" textlink="">
      <xdr:nvSpPr>
        <xdr:cNvPr id="381998" name="AutoShape 46">
          <a:extLst>
            <a:ext uri="{FF2B5EF4-FFF2-40B4-BE49-F238E27FC236}">
              <a16:creationId xmlns:a16="http://schemas.microsoft.com/office/drawing/2014/main" id="{00000000-0008-0000-0B00-00002ED40500}"/>
            </a:ext>
          </a:extLst>
        </xdr:cNvPr>
        <xdr:cNvSpPr>
          <a:spLocks noChangeAspect="1" noChangeArrowheads="1"/>
        </xdr:cNvSpPr>
      </xdr:nvSpPr>
      <xdr:spPr bwMode="auto">
        <a:xfrm>
          <a:off x="9364980" y="13868400"/>
          <a:ext cx="279654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195948</xdr:colOff>
      <xdr:row>70</xdr:row>
      <xdr:rowOff>130632</xdr:rowOff>
    </xdr:from>
    <xdr:to>
      <xdr:col>5</xdr:col>
      <xdr:colOff>256908</xdr:colOff>
      <xdr:row>70</xdr:row>
      <xdr:rowOff>130632</xdr:rowOff>
    </xdr:to>
    <xdr:sp macro="" textlink="">
      <xdr:nvSpPr>
        <xdr:cNvPr id="182" name="Line 234">
          <a:extLst>
            <a:ext uri="{FF2B5EF4-FFF2-40B4-BE49-F238E27FC236}">
              <a16:creationId xmlns:a16="http://schemas.microsoft.com/office/drawing/2014/main" id="{00000000-0008-0000-0B00-0000B6000000}"/>
            </a:ext>
          </a:extLst>
        </xdr:cNvPr>
        <xdr:cNvSpPr>
          <a:spLocks noChangeShapeType="1"/>
        </xdr:cNvSpPr>
      </xdr:nvSpPr>
      <xdr:spPr bwMode="auto">
        <a:xfrm>
          <a:off x="4049491" y="18255346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195949</xdr:colOff>
      <xdr:row>71</xdr:row>
      <xdr:rowOff>108863</xdr:rowOff>
    </xdr:from>
    <xdr:to>
      <xdr:col>5</xdr:col>
      <xdr:colOff>256909</xdr:colOff>
      <xdr:row>71</xdr:row>
      <xdr:rowOff>108863</xdr:rowOff>
    </xdr:to>
    <xdr:sp macro="" textlink="">
      <xdr:nvSpPr>
        <xdr:cNvPr id="185" name="Line 234">
          <a:extLst>
            <a:ext uri="{FF2B5EF4-FFF2-40B4-BE49-F238E27FC236}">
              <a16:creationId xmlns:a16="http://schemas.microsoft.com/office/drawing/2014/main" id="{00000000-0008-0000-0B00-0000B9000000}"/>
            </a:ext>
          </a:extLst>
        </xdr:cNvPr>
        <xdr:cNvSpPr>
          <a:spLocks noChangeShapeType="1"/>
        </xdr:cNvSpPr>
      </xdr:nvSpPr>
      <xdr:spPr bwMode="auto">
        <a:xfrm>
          <a:off x="4049492" y="17634863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73</xdr:row>
      <xdr:rowOff>0</xdr:rowOff>
    </xdr:from>
    <xdr:to>
      <xdr:col>6</xdr:col>
      <xdr:colOff>60960</xdr:colOff>
      <xdr:row>73</xdr:row>
      <xdr:rowOff>0</xdr:rowOff>
    </xdr:to>
    <xdr:sp macro="" textlink="">
      <xdr:nvSpPr>
        <xdr:cNvPr id="186" name="Line 234">
          <a:extLst>
            <a:ext uri="{FF2B5EF4-FFF2-40B4-BE49-F238E27FC236}">
              <a16:creationId xmlns:a16="http://schemas.microsoft.com/office/drawing/2014/main" id="{00000000-0008-0000-0B00-0000BA000000}"/>
            </a:ext>
          </a:extLst>
        </xdr:cNvPr>
        <xdr:cNvSpPr>
          <a:spLocks noChangeShapeType="1"/>
        </xdr:cNvSpPr>
      </xdr:nvSpPr>
      <xdr:spPr bwMode="auto">
        <a:xfrm>
          <a:off x="4702629" y="18026743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152404</xdr:colOff>
      <xdr:row>71</xdr:row>
      <xdr:rowOff>130631</xdr:rowOff>
    </xdr:from>
    <xdr:to>
      <xdr:col>7</xdr:col>
      <xdr:colOff>213364</xdr:colOff>
      <xdr:row>71</xdr:row>
      <xdr:rowOff>130631</xdr:rowOff>
    </xdr:to>
    <xdr:sp macro="" textlink="">
      <xdr:nvSpPr>
        <xdr:cNvPr id="187" name="Line 234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SpPr>
          <a:spLocks noChangeShapeType="1"/>
        </xdr:cNvSpPr>
      </xdr:nvSpPr>
      <xdr:spPr bwMode="auto">
        <a:xfrm>
          <a:off x="5595261" y="17656631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152400</xdr:colOff>
      <xdr:row>70</xdr:row>
      <xdr:rowOff>130626</xdr:rowOff>
    </xdr:from>
    <xdr:to>
      <xdr:col>7</xdr:col>
      <xdr:colOff>213360</xdr:colOff>
      <xdr:row>70</xdr:row>
      <xdr:rowOff>130626</xdr:rowOff>
    </xdr:to>
    <xdr:sp macro="" textlink="">
      <xdr:nvSpPr>
        <xdr:cNvPr id="190" name="Line 234">
          <a:extLst>
            <a:ext uri="{FF2B5EF4-FFF2-40B4-BE49-F238E27FC236}">
              <a16:creationId xmlns:a16="http://schemas.microsoft.com/office/drawing/2014/main" id="{00000000-0008-0000-0B00-0000BE000000}"/>
            </a:ext>
          </a:extLst>
        </xdr:cNvPr>
        <xdr:cNvSpPr>
          <a:spLocks noChangeShapeType="1"/>
        </xdr:cNvSpPr>
      </xdr:nvSpPr>
      <xdr:spPr bwMode="auto">
        <a:xfrm>
          <a:off x="5595257" y="17406255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97970</xdr:colOff>
      <xdr:row>70</xdr:row>
      <xdr:rowOff>141511</xdr:rowOff>
    </xdr:from>
    <xdr:to>
      <xdr:col>9</xdr:col>
      <xdr:colOff>158930</xdr:colOff>
      <xdr:row>70</xdr:row>
      <xdr:rowOff>141511</xdr:rowOff>
    </xdr:to>
    <xdr:sp macro="" textlink="">
      <xdr:nvSpPr>
        <xdr:cNvPr id="191" name="Line 234">
          <a:extLst>
            <a:ext uri="{FF2B5EF4-FFF2-40B4-BE49-F238E27FC236}">
              <a16:creationId xmlns:a16="http://schemas.microsoft.com/office/drawing/2014/main" id="{00000000-0008-0000-0B00-0000BF000000}"/>
            </a:ext>
          </a:extLst>
        </xdr:cNvPr>
        <xdr:cNvSpPr>
          <a:spLocks noChangeShapeType="1"/>
        </xdr:cNvSpPr>
      </xdr:nvSpPr>
      <xdr:spPr bwMode="auto">
        <a:xfrm>
          <a:off x="7032170" y="17417140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97967</xdr:colOff>
      <xdr:row>71</xdr:row>
      <xdr:rowOff>119742</xdr:rowOff>
    </xdr:from>
    <xdr:to>
      <xdr:col>9</xdr:col>
      <xdr:colOff>158927</xdr:colOff>
      <xdr:row>71</xdr:row>
      <xdr:rowOff>119742</xdr:rowOff>
    </xdr:to>
    <xdr:sp macro="" textlink="">
      <xdr:nvSpPr>
        <xdr:cNvPr id="193" name="Line 234">
          <a:extLst>
            <a:ext uri="{FF2B5EF4-FFF2-40B4-BE49-F238E27FC236}">
              <a16:creationId xmlns:a16="http://schemas.microsoft.com/office/drawing/2014/main" id="{00000000-0008-0000-0B00-0000C1000000}"/>
            </a:ext>
          </a:extLst>
        </xdr:cNvPr>
        <xdr:cNvSpPr>
          <a:spLocks noChangeShapeType="1"/>
        </xdr:cNvSpPr>
      </xdr:nvSpPr>
      <xdr:spPr bwMode="auto">
        <a:xfrm>
          <a:off x="7032167" y="17645742"/>
          <a:ext cx="6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285750</xdr:colOff>
      <xdr:row>130</xdr:row>
      <xdr:rowOff>11430</xdr:rowOff>
    </xdr:from>
    <xdr:to>
      <xdr:col>4</xdr:col>
      <xdr:colOff>513807</xdr:colOff>
      <xdr:row>131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4" name="Object 13">
              <a:extLst>
                <a:ext uri="{FF2B5EF4-FFF2-40B4-BE49-F238E27FC236}">
                  <a16:creationId xmlns:a16="http://schemas.microsoft.com/office/drawing/2014/main" id="{00000000-0008-0000-0B00-0000C2000000}"/>
                </a:ext>
              </a:extLst>
            </xdr:cNvPr>
            <xdr:cNvSpPr txBox="1"/>
          </xdr:nvSpPr>
          <xdr:spPr>
            <a:xfrm>
              <a:off x="1905000" y="33129855"/>
              <a:ext cx="1704432" cy="2683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0.5∗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94" name="Object 13">
              <a:extLst>
                <a:ext uri="{FF2B5EF4-FFF2-40B4-BE49-F238E27FC236}">
                  <a16:creationId xmlns:a16="http://schemas.microsoft.com/office/drawing/2014/main" id="{00000000-0008-0000-0A00-0000C2000000}"/>
                </a:ext>
              </a:extLst>
            </xdr:cNvPr>
            <xdr:cNvSpPr txBox="1"/>
          </xdr:nvSpPr>
          <xdr:spPr>
            <a:xfrm>
              <a:off x="1905000" y="33129855"/>
              <a:ext cx="1704432" cy="26837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𝑄≤〖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0.5∗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𝜑〗_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𝑛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.𝑅_𝑏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.ℎ_0=</a:t>
              </a:r>
              <a:endParaRPr lang="en-US"/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234</xdr:row>
      <xdr:rowOff>266700</xdr:rowOff>
    </xdr:from>
    <xdr:to>
      <xdr:col>6</xdr:col>
      <xdr:colOff>56607</xdr:colOff>
      <xdr:row>235</xdr:row>
      <xdr:rowOff>247415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Object 13">
              <a:extLst>
                <a:ext uri="{FF2B5EF4-FFF2-40B4-BE49-F238E27FC236}">
                  <a16:creationId xmlns:a16="http://schemas.microsoft.com/office/drawing/2014/main" id="{00000000-0008-0000-0B00-0000C3000000}"/>
                </a:ext>
              </a:extLst>
            </xdr:cNvPr>
            <xdr:cNvSpPr txBox="1"/>
          </xdr:nvSpPr>
          <xdr:spPr>
            <a:xfrm>
              <a:off x="3009900" y="56016525"/>
              <a:ext cx="1771107" cy="2664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≤</m:t>
                    </m:r>
                    <m:sSub>
                      <m:sSubPr>
                        <m:ctrlP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0.5∗</m:t>
                        </m:r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  <m:sub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.</m:t>
                    </m:r>
                    <m:sSub>
                      <m:sSubPr>
                        <m:ctrlP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ℎ</m:t>
                        </m:r>
                      </m:e>
                      <m:sub>
                        <m:r>
                          <a:rPr lang="en-US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195" name="Object 13">
              <a:extLst>
                <a:ext uri="{FF2B5EF4-FFF2-40B4-BE49-F238E27FC236}">
                  <a16:creationId xmlns:a16="http://schemas.microsoft.com/office/drawing/2014/main" id="{74129A12-CD1F-4A49-8A3E-0480F03E5981}"/>
                </a:ext>
              </a:extLst>
            </xdr:cNvPr>
            <xdr:cNvSpPr txBox="1"/>
          </xdr:nvSpPr>
          <xdr:spPr>
            <a:xfrm>
              <a:off x="3009900" y="56016525"/>
              <a:ext cx="1771107" cy="26646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𝑄≤〖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0.5∗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𝜑〗_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𝑛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.𝑅_𝑏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𝑡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.ℎ_0=</a:t>
              </a:r>
              <a:endParaRPr lang="en-US"/>
            </a:p>
          </xdr:txBody>
        </xdr:sp>
      </mc:Fallback>
    </mc:AlternateContent>
    <xdr:clientData/>
  </xdr:twoCellAnchor>
  <xdr:twoCellAnchor editAs="oneCell">
    <xdr:from>
      <xdr:col>1</xdr:col>
      <xdr:colOff>171450</xdr:colOff>
      <xdr:row>180</xdr:row>
      <xdr:rowOff>19050</xdr:rowOff>
    </xdr:from>
    <xdr:to>
      <xdr:col>1</xdr:col>
      <xdr:colOff>726171</xdr:colOff>
      <xdr:row>181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6">
              <a:extLst>
                <a:ext uri="{63B3BB69-23CF-44E3-9099-C40C66FF867C}">
                  <a14:compatExt spid="_x0000_s381958"/>
                </a:ext>
                <a:ext uri="{FF2B5EF4-FFF2-40B4-BE49-F238E27FC236}">
                  <a16:creationId xmlns:a16="http://schemas.microsoft.com/office/drawing/2014/main" id="{00000000-0008-0000-0B00-000005000000}"/>
                </a:ext>
              </a:extLst>
            </xdr:cNvPr>
            <xdr:cNvSpPr txBox="1"/>
          </xdr:nvSpPr>
          <xdr:spPr>
            <a:xfrm>
              <a:off x="923925" y="46377225"/>
              <a:ext cx="549959" cy="25717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𝑙</m:t>
                      </m:r>
                    </m:e>
                    <m:sub>
                      <m:r>
                        <a:rPr lang="en-US" sz="1100" b="0" i="1"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𝑜</m:t>
                      </m:r>
                    </m:sub>
                  </m:sSub>
                  <m:r>
                    <a:rPr lang="en-US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/</m:t>
                  </m:r>
                  <m:r>
                    <a:rPr lang="en-US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ℎ</m:t>
                  </m:r>
                </m:oMath>
              </a14:m>
              <a:r>
                <a:rPr lang="en-US"/>
                <a:t> =</a:t>
              </a:r>
            </a:p>
          </xdr:txBody>
        </xdr:sp>
      </mc:Choice>
      <mc:Fallback xmlns="">
        <xdr:sp macro="" textlink="">
          <xdr:nvSpPr>
            <xdr:cNvPr id="5" name="Object 6">
              <a:extLst>
                <a:ext uri="{63B3BB69-23CF-44E3-9099-C40C66FF867C}">
                  <a14:compatExt xmlns:a14="http://schemas.microsoft.com/office/drawing/2010/main" spid="_x0000_s381958"/>
                </a:ext>
                <a:ext uri="{FF2B5EF4-FFF2-40B4-BE49-F238E27FC236}">
                  <a16:creationId xmlns:a16="http://schemas.microsoft.com/office/drawing/2014/main" id="{CE4BCC87-2C51-41A3-9A25-88580BEDA222}"/>
                </a:ext>
              </a:extLst>
            </xdr:cNvPr>
            <xdr:cNvSpPr txBox="1"/>
          </xdr:nvSpPr>
          <xdr:spPr>
            <a:xfrm>
              <a:off x="923925" y="46377225"/>
              <a:ext cx="549959" cy="257175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sz="1100" b="0" i="0"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𝑙_𝑜/ℎ</a:t>
              </a:r>
              <a:r>
                <a:rPr lang="en-US"/>
                <a:t> =</a:t>
              </a:r>
            </a:p>
          </xdr:txBody>
        </xdr:sp>
      </mc:Fallback>
    </mc:AlternateContent>
    <xdr:clientData/>
  </xdr:twoCellAnchor>
  <xdr:twoCellAnchor>
    <xdr:from>
      <xdr:col>1</xdr:col>
      <xdr:colOff>323753</xdr:colOff>
      <xdr:row>4</xdr:row>
      <xdr:rowOff>0</xdr:rowOff>
    </xdr:from>
    <xdr:to>
      <xdr:col>6</xdr:col>
      <xdr:colOff>798980</xdr:colOff>
      <xdr:row>27</xdr:row>
      <xdr:rowOff>2394</xdr:rowOff>
    </xdr:to>
    <xdr:grpSp>
      <xdr:nvGrpSpPr>
        <xdr:cNvPr id="1055697" name="Nhóm 1055696">
          <a:extLst>
            <a:ext uri="{FF2B5EF4-FFF2-40B4-BE49-F238E27FC236}">
              <a16:creationId xmlns:a16="http://schemas.microsoft.com/office/drawing/2014/main" id="{DD4C2839-4B02-DD94-702E-14AF7CA5B3D6}"/>
            </a:ext>
          </a:extLst>
        </xdr:cNvPr>
        <xdr:cNvGrpSpPr/>
      </xdr:nvGrpSpPr>
      <xdr:grpSpPr>
        <a:xfrm>
          <a:off x="1092103" y="990600"/>
          <a:ext cx="4170927" cy="5450694"/>
          <a:chOff x="782669" y="892630"/>
          <a:chExt cx="4684527" cy="5551021"/>
        </a:xfrm>
      </xdr:grpSpPr>
      <xdr:cxnSp macro="">
        <xdr:nvCxnSpPr>
          <xdr:cNvPr id="1055522" name="Straight Connector 111">
            <a:extLst>
              <a:ext uri="{FF2B5EF4-FFF2-40B4-BE49-F238E27FC236}">
                <a16:creationId xmlns:a16="http://schemas.microsoft.com/office/drawing/2014/main" id="{626356EB-0DD6-4C65-AC60-E7FEDCCC19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355512" y="2505704"/>
            <a:ext cx="60511" cy="1334"/>
          </a:xfrm>
          <a:prstGeom prst="line">
            <a:avLst/>
          </a:prstGeom>
          <a:noFill/>
          <a:ln w="158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5529" name="Straight Connector 111">
            <a:extLst>
              <a:ext uri="{FF2B5EF4-FFF2-40B4-BE49-F238E27FC236}">
                <a16:creationId xmlns:a16="http://schemas.microsoft.com/office/drawing/2014/main" id="{DCFCDDDD-F1B7-45A8-9551-B976C8A3DD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394821" y="2531637"/>
            <a:ext cx="60511" cy="1334"/>
          </a:xfrm>
          <a:prstGeom prst="line">
            <a:avLst/>
          </a:prstGeom>
          <a:noFill/>
          <a:ln w="158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055696" name="Nhóm 1055695">
            <a:extLst>
              <a:ext uri="{FF2B5EF4-FFF2-40B4-BE49-F238E27FC236}">
                <a16:creationId xmlns:a16="http://schemas.microsoft.com/office/drawing/2014/main" id="{E51ABF79-C569-8818-60B0-4797262BF9F2}"/>
              </a:ext>
            </a:extLst>
          </xdr:cNvPr>
          <xdr:cNvGrpSpPr/>
        </xdr:nvGrpSpPr>
        <xdr:grpSpPr>
          <a:xfrm>
            <a:off x="782669" y="892630"/>
            <a:ext cx="4684527" cy="5551021"/>
            <a:chOff x="831955" y="1021762"/>
            <a:chExt cx="4685028" cy="5556466"/>
          </a:xfrm>
        </xdr:grpSpPr>
        <xdr:sp macro="" textlink="">
          <xdr:nvSpPr>
            <xdr:cNvPr id="153" name="TextBox 29">
              <a:extLst>
                <a:ext uri="{FF2B5EF4-FFF2-40B4-BE49-F238E27FC236}">
                  <a16:creationId xmlns:a16="http://schemas.microsoft.com/office/drawing/2014/main" id="{AA8E4D52-368F-442E-B45A-0F79DA31A1B4}"/>
                </a:ext>
              </a:extLst>
            </xdr:cNvPr>
            <xdr:cNvSpPr txBox="1"/>
          </xdr:nvSpPr>
          <xdr:spPr bwMode="auto">
            <a:xfrm rot="16200000">
              <a:off x="800128" y="1601535"/>
              <a:ext cx="345911" cy="2796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/>
                <a:t>H</a:t>
              </a:r>
              <a:r>
                <a:rPr lang="en-US" sz="1200" baseline="-25000"/>
                <a:t>2</a:t>
              </a:r>
            </a:p>
          </xdr:txBody>
        </xdr:sp>
        <xdr:grpSp>
          <xdr:nvGrpSpPr>
            <xdr:cNvPr id="1055695" name="Nhóm 1055694">
              <a:extLst>
                <a:ext uri="{FF2B5EF4-FFF2-40B4-BE49-F238E27FC236}">
                  <a16:creationId xmlns:a16="http://schemas.microsoft.com/office/drawing/2014/main" id="{2C68A6CD-5143-F940-FD55-28D153625381}"/>
                </a:ext>
              </a:extLst>
            </xdr:cNvPr>
            <xdr:cNvGrpSpPr/>
          </xdr:nvGrpSpPr>
          <xdr:grpSpPr>
            <a:xfrm>
              <a:off x="831955" y="1021762"/>
              <a:ext cx="4685028" cy="5556466"/>
              <a:chOff x="831955" y="1021762"/>
              <a:chExt cx="4685028" cy="5556466"/>
            </a:xfrm>
          </xdr:grpSpPr>
          <xdr:cxnSp macro="">
            <xdr:nvCxnSpPr>
              <xdr:cNvPr id="1055514" name="Straight Arrow Connector 79">
                <a:extLst>
                  <a:ext uri="{FF2B5EF4-FFF2-40B4-BE49-F238E27FC236}">
                    <a16:creationId xmlns:a16="http://schemas.microsoft.com/office/drawing/2014/main" id="{694E487A-F358-4E29-BA6B-F8D79605CC0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5153873" y="2853783"/>
                <a:ext cx="0" cy="253165"/>
              </a:xfrm>
              <a:prstGeom prst="straightConnector1">
                <a:avLst/>
              </a:prstGeom>
              <a:noFill/>
              <a:ln w="6350" algn="ctr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grpSp>
            <xdr:nvGrpSpPr>
              <xdr:cNvPr id="1055694" name="Nhóm 1055693">
                <a:extLst>
                  <a:ext uri="{FF2B5EF4-FFF2-40B4-BE49-F238E27FC236}">
                    <a16:creationId xmlns:a16="http://schemas.microsoft.com/office/drawing/2014/main" id="{DE284143-46C7-6D84-EDB6-3047E07D7C8B}"/>
                  </a:ext>
                </a:extLst>
              </xdr:cNvPr>
              <xdr:cNvGrpSpPr/>
            </xdr:nvGrpSpPr>
            <xdr:grpSpPr>
              <a:xfrm>
                <a:off x="831955" y="1021762"/>
                <a:ext cx="4685028" cy="5556466"/>
                <a:chOff x="831884" y="1017633"/>
                <a:chExt cx="4683051" cy="5534792"/>
              </a:xfrm>
            </xdr:grpSpPr>
            <xdr:grpSp>
              <xdr:nvGrpSpPr>
                <xdr:cNvPr id="1055693" name="Nhóm 1055692">
                  <a:extLst>
                    <a:ext uri="{FF2B5EF4-FFF2-40B4-BE49-F238E27FC236}">
                      <a16:creationId xmlns:a16="http://schemas.microsoft.com/office/drawing/2014/main" id="{81181E73-CA2C-036F-A7A3-8F34F9AFEB15}"/>
                    </a:ext>
                  </a:extLst>
                </xdr:cNvPr>
                <xdr:cNvGrpSpPr/>
              </xdr:nvGrpSpPr>
              <xdr:grpSpPr>
                <a:xfrm>
                  <a:off x="4921555" y="2778218"/>
                  <a:ext cx="593380" cy="344879"/>
                  <a:chOff x="4921555" y="2778218"/>
                  <a:chExt cx="593380" cy="344879"/>
                </a:xfrm>
              </xdr:grpSpPr>
              <xdr:cxnSp macro="">
                <xdr:nvCxnSpPr>
                  <xdr:cNvPr id="1055513" name="Straight Connector 65">
                    <a:extLst>
                      <a:ext uri="{FF2B5EF4-FFF2-40B4-BE49-F238E27FC236}">
                        <a16:creationId xmlns:a16="http://schemas.microsoft.com/office/drawing/2014/main" id="{7B0E7B31-3454-4206-95D1-ACF805AF045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949135" y="2834377"/>
                    <a:ext cx="258509" cy="14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055518" name="Straight Connector 65">
                    <a:extLst>
                      <a:ext uri="{FF2B5EF4-FFF2-40B4-BE49-F238E27FC236}">
                        <a16:creationId xmlns:a16="http://schemas.microsoft.com/office/drawing/2014/main" id="{50FDF2BC-F0EA-4EDE-A9D7-3312767067E5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940595" y="3081254"/>
                    <a:ext cx="258509" cy="14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sp macro="" textlink="">
                <xdr:nvSpPr>
                  <xdr:cNvPr id="154" name="TextBox 29">
                    <a:extLst>
                      <a:ext uri="{FF2B5EF4-FFF2-40B4-BE49-F238E27FC236}">
                        <a16:creationId xmlns:a16="http://schemas.microsoft.com/office/drawing/2014/main" id="{AE29C203-F970-4CAE-B349-F19784E6288C}"/>
                      </a:ext>
                    </a:extLst>
                  </xdr:cNvPr>
                  <xdr:cNvSpPr txBox="1"/>
                </xdr:nvSpPr>
                <xdr:spPr bwMode="auto">
                  <a:xfrm rot="16200000">
                    <a:off x="5190910" y="2799072"/>
                    <a:ext cx="344879" cy="303171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square" rtlCol="0" anchor="t">
                    <a:noAutofit/>
                  </a:bodyPr>
                  <a:lstStyle/>
                  <a:p>
                    <a:r>
                      <a:rPr lang="en-US" sz="1200"/>
                      <a:t>h</a:t>
                    </a:r>
                    <a:r>
                      <a:rPr lang="en-US" sz="1200" baseline="-25000"/>
                      <a:t>v</a:t>
                    </a:r>
                  </a:p>
                </xdr:txBody>
              </xdr:sp>
              <xdr:cxnSp macro="">
                <xdr:nvCxnSpPr>
                  <xdr:cNvPr id="166" name="Straight Connector 114">
                    <a:extLst>
                      <a:ext uri="{FF2B5EF4-FFF2-40B4-BE49-F238E27FC236}">
                        <a16:creationId xmlns:a16="http://schemas.microsoft.com/office/drawing/2014/main" id="{92C095FD-7DCD-4836-B643-5470383CD4BB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4921555" y="2845068"/>
                    <a:ext cx="3558" cy="238562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</xdr:grpSp>
            <xdr:grpSp>
              <xdr:nvGrpSpPr>
                <xdr:cNvPr id="1055692" name="Nhóm 1055691">
                  <a:extLst>
                    <a:ext uri="{FF2B5EF4-FFF2-40B4-BE49-F238E27FC236}">
                      <a16:creationId xmlns:a16="http://schemas.microsoft.com/office/drawing/2014/main" id="{A6A97BCF-57ED-3C4D-BBC5-8913B7955B45}"/>
                    </a:ext>
                  </a:extLst>
                </xdr:cNvPr>
                <xdr:cNvGrpSpPr/>
              </xdr:nvGrpSpPr>
              <xdr:grpSpPr>
                <a:xfrm>
                  <a:off x="831884" y="1017633"/>
                  <a:ext cx="4591765" cy="5534792"/>
                  <a:chOff x="831884" y="1017633"/>
                  <a:chExt cx="4591765" cy="5534792"/>
                </a:xfrm>
              </xdr:grpSpPr>
              <xdr:cxnSp macro="">
                <xdr:nvCxnSpPr>
                  <xdr:cNvPr id="163" name="Straight Connector 129">
                    <a:extLst>
                      <a:ext uri="{FF2B5EF4-FFF2-40B4-BE49-F238E27FC236}">
                        <a16:creationId xmlns:a16="http://schemas.microsoft.com/office/drawing/2014/main" id="{222D9BA7-9CEE-40A5-BBED-F8403A2BD8BA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442755" y="1603302"/>
                    <a:ext cx="7716" cy="1053109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64" name="Straight Connector 110">
                    <a:extLst>
                      <a:ext uri="{FF2B5EF4-FFF2-40B4-BE49-F238E27FC236}">
                        <a16:creationId xmlns:a16="http://schemas.microsoft.com/office/drawing/2014/main" id="{F07B4DDF-A116-42EF-A726-C2AB3CF486D9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036885" y="1599289"/>
                    <a:ext cx="889" cy="1046270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65" name="Straight Connector 111">
                    <a:extLst>
                      <a:ext uri="{FF2B5EF4-FFF2-40B4-BE49-F238E27FC236}">
                        <a16:creationId xmlns:a16="http://schemas.microsoft.com/office/drawing/2014/main" id="{5720A9CD-04B4-4607-97D8-03351317BB4E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042359" y="1609110"/>
                    <a:ext cx="392338" cy="2054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67" name="Straight Connector 114">
                    <a:extLst>
                      <a:ext uri="{FF2B5EF4-FFF2-40B4-BE49-F238E27FC236}">
                        <a16:creationId xmlns:a16="http://schemas.microsoft.com/office/drawing/2014/main" id="{8900F1FC-8144-4C47-A6CA-6DDE45E1A7B9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499572" y="2649098"/>
                    <a:ext cx="427463" cy="201022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grpSp>
                <xdr:nvGrpSpPr>
                  <xdr:cNvPr id="1055691" name="Nhóm 1055690">
                    <a:extLst>
                      <a:ext uri="{FF2B5EF4-FFF2-40B4-BE49-F238E27FC236}">
                        <a16:creationId xmlns:a16="http://schemas.microsoft.com/office/drawing/2014/main" id="{076C9FB2-F8A1-EA1C-E9F7-3BD5B8F6DBD0}"/>
                      </a:ext>
                    </a:extLst>
                  </xdr:cNvPr>
                  <xdr:cNvGrpSpPr/>
                </xdr:nvGrpSpPr>
                <xdr:grpSpPr>
                  <a:xfrm>
                    <a:off x="831884" y="1017633"/>
                    <a:ext cx="4591765" cy="5534792"/>
                    <a:chOff x="831884" y="1017633"/>
                    <a:chExt cx="4591765" cy="5534792"/>
                  </a:xfrm>
                </xdr:grpSpPr>
                <xdr:sp macro="" textlink="">
                  <xdr:nvSpPr>
                    <xdr:cNvPr id="149" name="Lưu đồ: Hoặc 148">
                      <a:extLst>
                        <a:ext uri="{FF2B5EF4-FFF2-40B4-BE49-F238E27FC236}">
                          <a16:creationId xmlns:a16="http://schemas.microsoft.com/office/drawing/2014/main" id="{5C9459FB-0F8E-2239-1383-4818AD367265}"/>
                        </a:ext>
                      </a:extLst>
                    </xdr:cNvPr>
                    <xdr:cNvSpPr/>
                  </xdr:nvSpPr>
                  <xdr:spPr bwMode="auto">
                    <a:xfrm>
                      <a:off x="3239902" y="5085511"/>
                      <a:ext cx="148477" cy="123825"/>
                    </a:xfrm>
                    <a:prstGeom prst="flowChartOr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</xdr:spPr>
                  <xdr:txBody>
                    <a:bodyPr vertOverflow="clip" wrap="square" lIns="18288" tIns="0" rIns="0" bIns="0" rtlCol="0" anchor="ctr" upright="1"/>
                    <a:lstStyle/>
                    <a:p>
                      <a:pPr algn="l"/>
                      <a:endParaRPr lang="en-US" sz="1100"/>
                    </a:p>
                  </xdr:txBody>
                </xdr:sp>
                <xdr:grpSp>
                  <xdr:nvGrpSpPr>
                    <xdr:cNvPr id="1055690" name="Nhóm 1055689">
                      <a:extLst>
                        <a:ext uri="{FF2B5EF4-FFF2-40B4-BE49-F238E27FC236}">
                          <a16:creationId xmlns:a16="http://schemas.microsoft.com/office/drawing/2014/main" id="{ADC28386-7B55-1BD7-B5A8-30A1E6FAFFE4}"/>
                        </a:ext>
                      </a:extLst>
                    </xdr:cNvPr>
                    <xdr:cNvGrpSpPr/>
                  </xdr:nvGrpSpPr>
                  <xdr:grpSpPr>
                    <a:xfrm>
                      <a:off x="831884" y="1017633"/>
                      <a:ext cx="4591765" cy="5534792"/>
                      <a:chOff x="831884" y="1017633"/>
                      <a:chExt cx="4591765" cy="5534792"/>
                    </a:xfrm>
                  </xdr:grpSpPr>
                  <xdr:grpSp>
                    <xdr:nvGrpSpPr>
                      <xdr:cNvPr id="173" name="Nhóm 172">
                        <a:extLst>
                          <a:ext uri="{FF2B5EF4-FFF2-40B4-BE49-F238E27FC236}">
                            <a16:creationId xmlns:a16="http://schemas.microsoft.com/office/drawing/2014/main" id="{ED7F904A-6BFD-D4F3-2DE8-60B8A4126A7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489982" y="6101777"/>
                        <a:ext cx="1715200" cy="344232"/>
                        <a:chOff x="5078016" y="1518047"/>
                        <a:chExt cx="1579434" cy="345107"/>
                      </a:xfrm>
                    </xdr:grpSpPr>
                    <xdr:sp macro="" textlink="">
                      <xdr:nvSpPr>
                        <xdr:cNvPr id="171" name="TextBox 117">
                          <a:extLst>
                            <a:ext uri="{FF2B5EF4-FFF2-40B4-BE49-F238E27FC236}">
                              <a16:creationId xmlns:a16="http://schemas.microsoft.com/office/drawing/2014/main" id="{B625EC37-D248-4902-B378-F52525306401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5696978" y="1518047"/>
                          <a:ext cx="435038" cy="34510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wrap="square" rtlCol="0" anchor="t">
                          <a:noAutofit/>
                        </a:bodyPr>
                        <a:lstStyle/>
                        <a:p>
                          <a:pPr marL="0" marR="0" lvl="0" indent="0" defTabSz="91440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/>
                          </a:pPr>
                          <a:r>
                            <a:rPr lang="en-US" sz="1200">
                              <a:latin typeface="Calibri (Body)"/>
                              <a:cs typeface="Times New Roman" panose="02020603050405020304" pitchFamily="18" charset="0"/>
                            </a:rPr>
                            <a:t>L</a:t>
                          </a:r>
                          <a:r>
                            <a:rPr lang="en-US" sz="1200" baseline="-25000">
                              <a:latin typeface="Calibri (Body)"/>
                            </a:rPr>
                            <a:t>1 </a:t>
                          </a:r>
                          <a:endParaRPr lang="en-US" sz="1200">
                            <a:effectLst/>
                          </a:endParaRPr>
                        </a:p>
                      </xdr:txBody>
                    </xdr:sp>
                    <xdr:cxnSp macro="">
                      <xdr:nvCxnSpPr>
                        <xdr:cNvPr id="172" name="Straight Arrow Connector 70">
                          <a:extLst>
                            <a:ext uri="{FF2B5EF4-FFF2-40B4-BE49-F238E27FC236}">
                              <a16:creationId xmlns:a16="http://schemas.microsoft.com/office/drawing/2014/main" id="{8FC149C3-5429-4422-AF6B-81441C116579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V="1">
                          <a:off x="5078016" y="1766784"/>
                          <a:ext cx="1579434" cy="3649"/>
                        </a:xfrm>
                        <a:prstGeom prst="straightConnector1">
                          <a:avLst/>
                        </a:prstGeom>
                        <a:noFill/>
                        <a:ln w="6350" algn="ctr">
                          <a:solidFill>
                            <a:srgbClr val="000000"/>
                          </a:solidFill>
                          <a:round/>
                          <a:headEnd type="triangle" w="med" len="med"/>
                          <a:tailEnd type="triangle" w="med" len="med"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055689" name="Nhóm 1055688">
                        <a:extLst>
                          <a:ext uri="{FF2B5EF4-FFF2-40B4-BE49-F238E27FC236}">
                            <a16:creationId xmlns:a16="http://schemas.microsoft.com/office/drawing/2014/main" id="{4838C4FC-C51B-46A7-8077-26634B0B974A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31884" y="1017633"/>
                        <a:ext cx="4591765" cy="5534792"/>
                        <a:chOff x="831884" y="1017633"/>
                        <a:chExt cx="4591765" cy="5534792"/>
                      </a:xfrm>
                    </xdr:grpSpPr>
                    <xdr:cxnSp macro="">
                      <xdr:nvCxnSpPr>
                        <xdr:cNvPr id="15" name="Straight Connector 178">
                          <a:extLst>
                            <a:ext uri="{FF2B5EF4-FFF2-40B4-BE49-F238E27FC236}">
                              <a16:creationId xmlns:a16="http://schemas.microsoft.com/office/drawing/2014/main" id="{D7C92CB7-1611-655D-6295-A382FDFF93CD}"/>
                            </a:ext>
                          </a:extLst>
                        </xdr:cNvPr>
                        <xdr:cNvCxnSpPr/>
                      </xdr:nvCxnSpPr>
                      <xdr:spPr bwMode="auto">
                        <a:xfrm>
                          <a:off x="2476500" y="3725956"/>
                          <a:ext cx="22412" cy="2762250"/>
                        </a:xfrm>
                        <a:prstGeom prst="line">
                          <a:avLst/>
                        </a:prstGeom>
                        <a:ln w="6350">
                          <a:prstDash val="lgDashDot"/>
                          <a:headEnd type="none" w="med" len="med"/>
                          <a:tailEnd type="none" w="med" len="med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129" name="Straight Connector 178">
                          <a:extLst>
                            <a:ext uri="{FF2B5EF4-FFF2-40B4-BE49-F238E27FC236}">
                              <a16:creationId xmlns:a16="http://schemas.microsoft.com/office/drawing/2014/main" id="{2242AC94-83D5-4E90-9B80-6E047156158A}"/>
                            </a:ext>
                          </a:extLst>
                        </xdr:cNvPr>
                        <xdr:cNvCxnSpPr/>
                      </xdr:nvCxnSpPr>
                      <xdr:spPr bwMode="auto">
                        <a:xfrm>
                          <a:off x="4186518" y="3721474"/>
                          <a:ext cx="22412" cy="2762250"/>
                        </a:xfrm>
                        <a:prstGeom prst="line">
                          <a:avLst/>
                        </a:prstGeom>
                        <a:ln w="6350">
                          <a:prstDash val="lgDashDot"/>
                          <a:headEnd type="none" w="med" len="med"/>
                          <a:tailEnd type="none" w="med" len="med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1055688" name="Nhóm 1055687">
                          <a:extLst>
                            <a:ext uri="{FF2B5EF4-FFF2-40B4-BE49-F238E27FC236}">
                              <a16:creationId xmlns:a16="http://schemas.microsoft.com/office/drawing/2014/main" id="{07A227A8-F4EE-9700-C566-069BC7AE3BCB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31884" y="1017633"/>
                          <a:ext cx="4591765" cy="5534792"/>
                          <a:chOff x="831884" y="1017633"/>
                          <a:chExt cx="4591765" cy="5534792"/>
                        </a:xfrm>
                      </xdr:grpSpPr>
                      <xdr:sp macro="" textlink="">
                        <xdr:nvSpPr>
                          <xdr:cNvPr id="131" name="Rectangle 8567830">
                            <a:extLst>
                              <a:ext uri="{FF2B5EF4-FFF2-40B4-BE49-F238E27FC236}">
                                <a16:creationId xmlns:a16="http://schemas.microsoft.com/office/drawing/2014/main" id="{6076C09E-23A3-4121-91C9-ACA2688CE025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2277989" y="5597481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132" name="Rectangle 8567830">
                            <a:extLst>
                              <a:ext uri="{FF2B5EF4-FFF2-40B4-BE49-F238E27FC236}">
                                <a16:creationId xmlns:a16="http://schemas.microsoft.com/office/drawing/2014/main" id="{69CA871E-7D3F-4EF0-9C8C-0310B206E675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3959993" y="5609807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133" name="Rectangle 8567830">
                            <a:extLst>
                              <a:ext uri="{FF2B5EF4-FFF2-40B4-BE49-F238E27FC236}">
                                <a16:creationId xmlns:a16="http://schemas.microsoft.com/office/drawing/2014/main" id="{FD8362D2-FA14-41FA-B293-9DBC74FA5A88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3966716" y="4271825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chemeClr val="bg1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134" name="Rectangle 8567830">
                            <a:extLst>
                              <a:ext uri="{FF2B5EF4-FFF2-40B4-BE49-F238E27FC236}">
                                <a16:creationId xmlns:a16="http://schemas.microsoft.com/office/drawing/2014/main" id="{01347F7F-8D97-45A9-9940-FC3811DC9806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2281351" y="4272946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pSp>
                        <xdr:nvGrpSpPr>
                          <xdr:cNvPr id="1055687" name="Nhóm 1055686">
                            <a:extLst>
                              <a:ext uri="{FF2B5EF4-FFF2-40B4-BE49-F238E27FC236}">
                                <a16:creationId xmlns:a16="http://schemas.microsoft.com/office/drawing/2014/main" id="{DEB5CF1C-0DF0-9C2D-5ACA-D86311677EBE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831884" y="1017633"/>
                            <a:ext cx="4591765" cy="5534792"/>
                            <a:chOff x="831884" y="1017633"/>
                            <a:chExt cx="4591765" cy="5534792"/>
                          </a:xfrm>
                        </xdr:grpSpPr>
                        <xdr:cxnSp macro="">
                          <xdr:nvCxnSpPr>
                            <xdr:cNvPr id="136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B68C0158-5CDF-4A68-A8B1-CA36CC9AA9B6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819222" y="3722364"/>
                              <a:ext cx="427556" cy="502253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cxnSp macro="">
                          <xdr:nvCxnSpPr>
                            <xdr:cNvPr id="139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56B4D5D7-90C8-4C15-9931-60A61A558B42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4457137" y="6050100"/>
                              <a:ext cx="437463" cy="498660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cxnSp macro="">
                          <xdr:nvCxnSpPr>
                            <xdr:cNvPr id="145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5E390BED-CC10-4FC9-AFAC-A4982FBE7F43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1808016" y="6026179"/>
                              <a:ext cx="434452" cy="512682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grpSp>
                          <xdr:nvGrpSpPr>
                            <xdr:cNvPr id="180" name="Nhóm 179">
                              <a:extLst>
                                <a:ext uri="{FF2B5EF4-FFF2-40B4-BE49-F238E27FC236}">
                                  <a16:creationId xmlns:a16="http://schemas.microsoft.com/office/drawing/2014/main" id="{65B11508-EA09-EB6A-C547-BCEBC8A757C6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831884" y="1017633"/>
                              <a:ext cx="4591765" cy="5534792"/>
                              <a:chOff x="831884" y="1017633"/>
                              <a:chExt cx="4591765" cy="5534792"/>
                            </a:xfrm>
                          </xdr:grpSpPr>
                          <xdr:cxnSp macro="">
                            <xdr:nvCxnSpPr>
                              <xdr:cNvPr id="142" name="Straight Connector 111">
                                <a:extLst>
                                  <a:ext uri="{FF2B5EF4-FFF2-40B4-BE49-F238E27FC236}">
                                    <a16:creationId xmlns:a16="http://schemas.microsoft.com/office/drawing/2014/main" id="{1397936D-4106-44F7-A882-0965A2E904B1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59335" y="3727680"/>
                                <a:ext cx="416947" cy="482759"/>
                              </a:xfrm>
                              <a:prstGeom prst="line">
                                <a:avLst/>
                              </a:prstGeom>
                              <a:noFill/>
                              <a:ln w="158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cxnSp>
                          <xdr:grpSp>
                            <xdr:nvGrpSpPr>
                              <xdr:cNvPr id="179" name="Nhóm 178">
                                <a:extLst>
                                  <a:ext uri="{FF2B5EF4-FFF2-40B4-BE49-F238E27FC236}">
                                    <a16:creationId xmlns:a16="http://schemas.microsoft.com/office/drawing/2014/main" id="{5E25863D-4E94-EEAE-6133-6FF94DDCDDB1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831884" y="1017633"/>
                                <a:ext cx="4591765" cy="5534792"/>
                                <a:chOff x="831904" y="1018754"/>
                                <a:chExt cx="4592305" cy="5540675"/>
                              </a:xfrm>
                            </xdr:grpSpPr>
                            <xdr:grpSp>
                              <xdr:nvGrpSpPr>
                                <xdr:cNvPr id="152" name="Nhóm 151">
                                  <a:extLst>
                                    <a:ext uri="{FF2B5EF4-FFF2-40B4-BE49-F238E27FC236}">
                                      <a16:creationId xmlns:a16="http://schemas.microsoft.com/office/drawing/2014/main" id="{B59219C9-7125-54A4-1DE3-AAB31D5D6325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831904" y="1018754"/>
                                  <a:ext cx="4592305" cy="2453098"/>
                                  <a:chOff x="831904" y="1019283"/>
                                  <a:chExt cx="4592305" cy="2452602"/>
                                </a:xfrm>
                              </xdr:grpSpPr>
                              <xdr:grpSp>
                                <xdr:nvGrpSpPr>
                                  <xdr:cNvPr id="150" name="Nhóm 149">
                                    <a:extLst>
                                      <a:ext uri="{FF2B5EF4-FFF2-40B4-BE49-F238E27FC236}">
                                        <a16:creationId xmlns:a16="http://schemas.microsoft.com/office/drawing/2014/main" id="{F630D431-C366-6705-1472-1A9EE559D78B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831904" y="1569148"/>
                                    <a:ext cx="4592305" cy="1902737"/>
                                    <a:chOff x="662794" y="1536645"/>
                                    <a:chExt cx="4761416" cy="1932657"/>
                                  </a:xfrm>
                                </xdr:grpSpPr>
                                <xdr:grpSp>
                                  <xdr:nvGrpSpPr>
                                    <xdr:cNvPr id="47" name="Group 9">
                                      <a:extLst>
                                        <a:ext uri="{FF2B5EF4-FFF2-40B4-BE49-F238E27FC236}">
                                          <a16:creationId xmlns:a16="http://schemas.microsoft.com/office/drawing/2014/main" id="{F5CA0A32-5A8B-976F-818B-08603FBE58BC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62794" y="1536645"/>
                                      <a:ext cx="4761416" cy="1932657"/>
                                      <a:chOff x="3289860" y="2667830"/>
                                      <a:chExt cx="3367130" cy="1430617"/>
                                    </a:xfrm>
                                  </xdr:grpSpPr>
                                  <xdr:grpSp>
                                    <xdr:nvGrpSpPr>
                                      <xdr:cNvPr id="50" name="Group 847190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1A06988-8D1F-BF67-7B12-09B3B21281E5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289860" y="2679849"/>
                                        <a:ext cx="3367130" cy="1418598"/>
                                        <a:chOff x="9002193" y="19969735"/>
                                        <a:chExt cx="1843836" cy="927568"/>
                                      </a:xfrm>
                                    </xdr:grpSpPr>
                                    <xdr:cxnSp macro="">
                                      <xdr:nvCxnSpPr>
                                        <xdr:cNvPr id="56" name="Straight Connector 1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86C78E3C-C42F-DE66-9B13-56F5A089AB79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>
                                          <a:off x="9816990" y="19977562"/>
                                          <a:ext cx="3098" cy="5182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158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xtLst>
                                          <a:ext uri="{909E8E84-426E-40DD-AFC4-6F175D3DCCD1}">
                                            <a14:hiddenFill xmlns:a14="http://schemas.microsoft.com/office/drawing/2010/main">
                                              <a:noFill/>
                                            </a14:hiddenFill>
                                          </a:ext>
                                        </a:extLst>
                                      </xdr:spPr>
                                    </xdr:cxnSp>
                                    <xdr:grpSp>
                                      <xdr:nvGrpSpPr>
                                        <xdr:cNvPr id="57" name="Group 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58C6CAFA-0D44-356E-B9FC-5C4656D477D1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9002193" y="19969735"/>
                                          <a:ext cx="1843836" cy="927568"/>
                                          <a:chOff x="9967647" y="19904918"/>
                                          <a:chExt cx="1846314" cy="92802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58" name="TextBox 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91ED4E8D-E8C6-9591-246D-380E913E3BA8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 bwMode="auto">
                                          <a:xfrm rot="16200000">
                                            <a:off x="10132795" y="20463393"/>
                                            <a:ext cx="166910" cy="127258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>
                                            <a:noAutofit/>
                                          </a:bodyPr>
                                          <a:lstStyle/>
                                          <a:p>
                                            <a:r>
                                              <a:rPr lang="en-US" sz="1300"/>
                                              <a:t>h</a:t>
                                            </a:r>
                                            <a:r>
                                              <a:rPr lang="en-US" sz="1100" baseline="-25000"/>
                                              <a:t>b</a:t>
                                            </a:r>
                                            <a:endParaRPr lang="en-US" sz="1300" baseline="-25000"/>
                                          </a:p>
                                        </xdr:txBody>
                                      </xdr:sp>
                                      <xdr:cxnSp macro="">
                                        <xdr:nvCxnSpPr>
                                          <xdr:cNvPr id="59" name="Straight Connector 6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39AFB598-32E1-03D6-2FF6-C14A38ACD992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>
                                            <a:off x="10212535" y="20412475"/>
                                            <a:ext cx="361824" cy="39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xtLst>
                                            <a:ext uri="{909E8E84-426E-40DD-AFC4-6F175D3DCCD1}">
                                              <a14:hiddenFill xmlns:a14="http://schemas.microsoft.com/office/drawing/2010/main">
                                                <a:noFill/>
                                              </a14:hiddenFill>
                                            </a:ext>
                                          </a:extLst>
                                        </xdr:spPr>
                                      </xdr:cxnSp>
                                      <xdr:cxnSp macro="">
                                        <xdr:nvCxnSpPr>
                                          <xdr:cNvPr id="60" name="Straight Connector 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9B8162B1-9FBC-5F44-D5FE-1AE284EC3BA7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 bwMode="auto">
                                          <a:xfrm flipV="1">
                                            <a:off x="10032127" y="20629747"/>
                                            <a:ext cx="34375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ln>
                                            <a:solidFill>
                                              <a:schemeClr val="tx1"/>
                                            </a:solidFill>
                                          </a:ln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  <xdr:grpSp>
                                        <xdr:nvGrpSpPr>
                                          <xdr:cNvPr id="61" name="Group 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1D1AB18-0E8B-28A5-E16D-598D855043EC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9967647" y="19904918"/>
                                            <a:ext cx="1846314" cy="928028"/>
                                            <a:chOff x="9967647" y="19904918"/>
                                            <a:chExt cx="1846314" cy="928028"/>
                                          </a:xfrm>
                                        </xdr:grpSpPr>
                                        <xdr:cxnSp macro="">
                                          <xdr:nvCxnSpPr>
                                            <xdr:cNvPr id="62" name="Straight Connector 6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601907C0-7BF4-3E25-0BB9-B8FE5BFC49AF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042970" y="20063097"/>
                                              <a:ext cx="1770991" cy="388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270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grpSp>
                                          <xdr:nvGrpSpPr>
                                            <xdr:cNvPr id="63" name="Group 10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FCB0045-C2E1-5DF6-8021-FDCAD2671848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389231" y="19904918"/>
                                              <a:ext cx="1221124" cy="737820"/>
                                              <a:chOff x="3550083" y="2884291"/>
                                              <a:chExt cx="502090" cy="275175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1055501" name="Straight Connector 11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709B6CF-8CB7-160D-AF60-4C727C8D17A4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3646008" y="2884291"/>
                                                <a:ext cx="147" cy="19213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502" name="Straight Connector 1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A59E3B1-87D2-B813-EF69-CEB240B55CA8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3551717" y="3076356"/>
                                                <a:ext cx="86131" cy="3843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503" name="Straight Connector 11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75CE427-3780-D72C-C27F-9901BAAD7656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3712590" y="3080749"/>
                                                <a:ext cx="194237" cy="41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504" name="Straight Connector 1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F12EDA71-2B16-31FC-B7BA-FF3FB9C8AD0E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3550707" y="3157238"/>
                                                <a:ext cx="501466" cy="222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505" name="Straight Connector 11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F6465E5-73A7-E333-73C2-27995F73C6E4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H="1">
                                                <a:off x="3550083" y="3114788"/>
                                                <a:ext cx="588" cy="4381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</xdr:grpSp>
                                        <xdr:grpSp>
                                          <xdr:nvGrpSpPr>
                                            <xdr:cNvPr id="1055488" name="Group 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1D4BD47-9D1D-AD9C-A4E2-D24CF8498A54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256753" y="20065628"/>
                                              <a:ext cx="1458891" cy="80784"/>
                                              <a:chOff x="6294395" y="19655148"/>
                                              <a:chExt cx="1762943" cy="61699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1055495" name="Straight Connector 3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9A9DED50-C8C5-A413-3A96-0A28745936F3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860071" y="19655148"/>
                                                <a:ext cx="103558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496" name="Straight Connector 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D35B9600-4A97-81E7-FD13-F86191FB953A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294395" y="19656600"/>
                                                <a:ext cx="93715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497" name="Straight Connector 2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AFA519D-9489-968B-6431-35D52DB7E070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388108" y="19656600"/>
                                                <a:ext cx="99492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498" name="Straight Connector 2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2F9A2EC-5283-21C6-839C-B18BD16175CD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487604" y="19656600"/>
                                                <a:ext cx="101525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499" name="Straight Connector 3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8B7E7AA6-E566-253B-9296-C200B261BFA4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758541" y="19660991"/>
                                                <a:ext cx="101524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1055500" name="Straight Connector 3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5FD1EA2-63B8-5491-1743-B7A463CA4939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963624" y="19655148"/>
                                                <a:ext cx="93714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</xdr:grpSp>
                                        <xdr:sp macro="" textlink="">
                                          <xdr:nvSpPr>
                                            <xdr:cNvPr id="1055489" name="TextBox 2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DC92525-4CE0-3519-9EC3-44FE51EB35BD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 bwMode="auto">
                                            <a:xfrm>
                                              <a:off x="10932618" y="20668518"/>
                                              <a:ext cx="128178" cy="134017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>
                                              <a:noAutofit/>
                                            </a:bodyPr>
                                            <a:lstStyle/>
                                            <a:p>
                                              <a:r>
                                                <a:rPr lang="en-US" sz="1200">
                                                  <a:latin typeface="Calibri (Body)"/>
                                                  <a:cs typeface="Times New Roman" panose="02020603050405020304" pitchFamily="18" charset="0"/>
                                                </a:rPr>
                                                <a:t>L</a:t>
                                              </a:r>
                                              <a:endParaRPr lang="en-US" sz="1200" baseline="-25000">
                                                <a:latin typeface="Calibri (Body)"/>
                                              </a:endParaRPr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1055490" name="Straight Arrow Connector 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D634DB2B-6089-D4A6-EBF5-71405F160AF9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266763" y="20418776"/>
                                              <a:ext cx="1836" cy="220993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sp macro="" textlink="">
                                          <xdr:nvSpPr>
                                            <xdr:cNvPr id="1055491" name="TextBox 2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502FA913-F71F-771E-FC83-2337BA680130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 bwMode="auto">
                                            <a:xfrm rot="16200000">
                                              <a:off x="9935188" y="20234720"/>
                                              <a:ext cx="198879" cy="133962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>
                                              <a:noAutofit/>
                                            </a:bodyPr>
                                            <a:lstStyle/>
                                            <a:p>
                                              <a:r>
                                                <a:rPr lang="en-US" sz="1200"/>
                                                <a:t>H</a:t>
                                              </a:r>
                                              <a:r>
                                                <a:rPr lang="en-US" sz="1200" baseline="-25000"/>
                                                <a:t>1</a:t>
                                              </a:r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1055492" name="Straight Arrow Connector 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5EB5DB59-B50C-94E2-E946-3DF9E81DC103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103959" y="20071035"/>
                                              <a:ext cx="2511" cy="558141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1055493" name="Straight Arrow Connector 7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5C86B3FD-8986-75AB-37ED-9289F98E8C71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398653" y="20802134"/>
                                              <a:ext cx="1201509" cy="8043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1055494" name="Straight Connector 6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D43488C-7E14-034B-91F5-3A9D6F6746D2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11605509" y="20660256"/>
                                              <a:ext cx="1721" cy="17269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</xdr:grpSp>
                                    </xdr:grpSp>
                                  </xdr:grpSp>
                                  <xdr:cxnSp macro="">
                                    <xdr:nvCxnSpPr>
                                      <xdr:cNvPr id="51" name="Straight Connector 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7449A21C-87E4-E49E-AD94-4B55EA7F7548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4066265" y="3832413"/>
                                        <a:ext cx="3142" cy="2627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2" name="Straight Arrow Connector 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5A1F3A1-818E-758D-1396-80D884EE565F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3539786" y="2674257"/>
                                        <a:ext cx="1700" cy="238118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 type="triangle" w="med" len="med"/>
                                        <a:tailEnd type="triangle" w="med" len="med"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3" name="Straight Connector 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AEA457C2-384D-627D-1AF5-821F2E328D94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3416696" y="2667830"/>
                                        <a:ext cx="991616" cy="454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4" name="Straight Connector 1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19B8249-9D54-4E08-4AB0-BF11E3BC511D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4488184" y="2687228"/>
                                        <a:ext cx="288077" cy="15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158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</xdr:grpSp>
                                <xdr:sp macro="" textlink="">
                                  <xdr:nvSpPr>
                                    <xdr:cNvPr id="48" name="TextBox 10">
                                      <a:extLst>
                                        <a:ext uri="{FF2B5EF4-FFF2-40B4-BE49-F238E27FC236}">
                                          <a16:creationId xmlns:a16="http://schemas.microsoft.com/office/drawing/2014/main" id="{9D207025-5705-DF88-CCA2-CFE0A02CD559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2413511" y="2085472"/>
                                      <a:ext cx="337350" cy="314621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r>
                                        <a:rPr lang="en-US" sz="1200"/>
                                        <a:t>b</a:t>
                                      </a:r>
                                      <a:endParaRPr lang="en-US" sz="1200" baseline="-25000"/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49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6586AD23-ADFA-B5F3-31BF-8A803BE96D41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348655" y="2386291"/>
                                      <a:ext cx="439517" cy="2362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  <xdr:grpSp>
                                <xdr:nvGrpSpPr>
                                  <xdr:cNvPr id="151" name="Nhóm 150">
                                    <a:extLst>
                                      <a:ext uri="{FF2B5EF4-FFF2-40B4-BE49-F238E27FC236}">
                                        <a16:creationId xmlns:a16="http://schemas.microsoft.com/office/drawing/2014/main" id="{9891FDB6-E5C4-E9C4-0E95-13FB72379CB1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652455" y="1019283"/>
                                    <a:ext cx="1580884" cy="486855"/>
                                    <a:chOff x="695835" y="1027389"/>
                                    <a:chExt cx="3315996" cy="615183"/>
                                  </a:xfrm>
                                </xdr:grpSpPr>
                                <xdr:sp macro="" textlink="">
                                  <xdr:nvSpPr>
                                    <xdr:cNvPr id="36" name="TextBox 117">
                                      <a:extLst>
                                        <a:ext uri="{FF2B5EF4-FFF2-40B4-BE49-F238E27FC236}">
                                          <a16:creationId xmlns:a16="http://schemas.microsoft.com/office/drawing/2014/main" id="{A191B124-C98A-D787-D4B8-3BFAFD7D3FA3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1997688" y="1027389"/>
                                      <a:ext cx="912290" cy="43499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pPr marL="0" marR="0" lvl="0" indent="0" defTabSz="914400" eaLnBrk="1" fontAlgn="auto" latinLnBrk="0" hangingPunct="1">
                                        <a:lnSpc>
                                          <a:spcPct val="100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Tx/>
                                        <a:buSzTx/>
                                        <a:buFontTx/>
                                        <a:buNone/>
                                        <a:tabLst/>
                                        <a:defRPr/>
                                      </a:pPr>
                                      <a:r>
                                        <a:rPr lang="en-US" sz="1200">
                                          <a:latin typeface="Calibri (Body)"/>
                                          <a:cs typeface="Times New Roman" panose="02020603050405020304" pitchFamily="18" charset="0"/>
                                        </a:rPr>
                                        <a:t>L</a:t>
                                      </a:r>
                                      <a:r>
                                        <a:rPr lang="en-US" sz="1200" baseline="-25000">
                                          <a:latin typeface="Calibri (Body)"/>
                                        </a:rPr>
                                        <a:t>1 </a:t>
                                      </a:r>
                                      <a:endParaRPr lang="en-US" sz="1200">
                                        <a:effectLst/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37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C42EC1EF-5461-31AD-56F1-F4B667B4853B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99703" y="1340913"/>
                                      <a:ext cx="3312128" cy="4599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38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2B45EF34-A7EF-A857-1AE2-E7DBAD8CBC1C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95835" y="1258246"/>
                                      <a:ext cx="4443" cy="35473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39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5D4261D4-5484-F405-A9C2-2961E0314A34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4001300" y="1287562"/>
                                      <a:ext cx="4443" cy="35501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</xdr:grpSp>
                            <xdr:grpSp>
                              <xdr:nvGrpSpPr>
                                <xdr:cNvPr id="178" name="Nhóm 177">
                                  <a:extLst>
                                    <a:ext uri="{FF2B5EF4-FFF2-40B4-BE49-F238E27FC236}">
                                      <a16:creationId xmlns:a16="http://schemas.microsoft.com/office/drawing/2014/main" id="{AFEE6305-A823-F26A-F98C-36FEDA3F1142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1094088" y="3707609"/>
                                  <a:ext cx="3793145" cy="2851820"/>
                                  <a:chOff x="1094088" y="3707609"/>
                                  <a:chExt cx="3793145" cy="2851820"/>
                                </a:xfrm>
                              </xdr:grpSpPr>
                              <xdr:grpSp>
                                <xdr:nvGrpSpPr>
                                  <xdr:cNvPr id="177" name="Nhóm 176">
                                    <a:extLst>
                                      <a:ext uri="{FF2B5EF4-FFF2-40B4-BE49-F238E27FC236}">
                                        <a16:creationId xmlns:a16="http://schemas.microsoft.com/office/drawing/2014/main" id="{0532FB41-5309-3C48-17B5-026756F6584E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1094088" y="3707609"/>
                                    <a:ext cx="3793145" cy="2851820"/>
                                    <a:chOff x="1094088" y="3707609"/>
                                    <a:chExt cx="3793145" cy="2851820"/>
                                  </a:xfrm>
                                </xdr:grpSpPr>
                                <xdr:grpSp>
                                  <xdr:nvGrpSpPr>
                                    <xdr:cNvPr id="25" name="Group 108">
                                      <a:extLst>
                                        <a:ext uri="{FF2B5EF4-FFF2-40B4-BE49-F238E27FC236}">
                                          <a16:creationId xmlns:a16="http://schemas.microsoft.com/office/drawing/2014/main" id="{3600BDD3-A04A-EEF5-AD2A-A50638C8EC23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094088" y="3707609"/>
                                      <a:ext cx="3793145" cy="2851820"/>
                                      <a:chOff x="3420344" y="3392066"/>
                                      <a:chExt cx="2178437" cy="820650"/>
                                    </a:xfrm>
                                  </xdr:grpSpPr>
                                  <xdr:sp macro="" textlink="">
                                    <xdr:nvSpPr>
                                      <xdr:cNvPr id="26" name="Rectangle 85678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63D2DD44-16D9-18B7-A986-C3ED9F7F164F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 bwMode="auto">
                                      <a:xfrm>
                                        <a:off x="3827219" y="3396922"/>
                                        <a:ext cx="1771562" cy="815794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 w="15875" cap="flat" cmpd="sng" algn="ctr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med" len="med"/>
                                        <a:tailEnd type="none" w="med" len="med"/>
                                      </a:ln>
                                      <a:effectLst/>
                                    </xdr:spPr>
                                    <xdr:txBody>
                                      <a:bodyPr vertOverflow="clip" wrap="square" lIns="18288" tIns="0" rIns="0" bIns="0" rtlCol="0" anchor="ctr" upright="1"/>
                                      <a:lstStyle/>
                                      <a:p>
                                        <a:pPr algn="l"/>
                                        <a:endParaRPr lang="en-US"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29" name="TextBox 1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4512EA3A-10C7-6A27-1DE6-D463895CF5F9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>
                                        <a:off x="4195621" y="3683024"/>
                                        <a:ext cx="226568" cy="92009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b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" name="Straight Connector 14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67C5989-414F-18A8-555B-70C672AC70E1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 bwMode="auto">
                                      <a:xfrm flipV="1">
                                        <a:off x="3525148" y="4211425"/>
                                        <a:ext cx="224177" cy="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chemeClr val="tx1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sp macro="" textlink="">
                                    <xdr:nvSpPr>
                                      <xdr:cNvPr id="31" name="TextBox 1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E823A428-AD6B-2D40-C5EE-4ECFBCA927AC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 rot="16200000">
                                        <a:off x="3462842" y="3765494"/>
                                        <a:ext cx="81756" cy="166752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B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" name="Straight Arrow Connector 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7B9CC48-5922-A7E1-0435-5F39CFBA8C89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3579504" y="3395781"/>
                                        <a:ext cx="2742" cy="81693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 type="triangle" w="med" len="med"/>
                                        <a:tailEnd type="triangle" w="med" len="med"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33" name="Straight Connector 1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C5A9DAFE-EFB1-B7F0-223A-34819C7F8259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 bwMode="auto">
                                      <a:xfrm flipV="1">
                                        <a:off x="3525148" y="3392066"/>
                                        <a:ext cx="228846" cy="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chemeClr val="tx1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sp macro="" textlink="">
                                    <xdr:nvSpPr>
                                      <xdr:cNvPr id="34" name="TextBox 1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8FF243E-332D-EE0C-15F6-D9CEC387DF96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 rot="16200000">
                                        <a:off x="4388516" y="3510706"/>
                                        <a:ext cx="119490" cy="21871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h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</xdr:grpSp>
                                <xdr:cxnSp macro="">
                                  <xdr:nvCxnSpPr>
                                    <xdr:cNvPr id="13" name="Straight Connector 9">
                                      <a:extLst>
                                        <a:ext uri="{FF2B5EF4-FFF2-40B4-BE49-F238E27FC236}">
                                          <a16:creationId xmlns:a16="http://schemas.microsoft.com/office/drawing/2014/main" id="{C09AA829-DD86-7555-8D67-D59F9A5FAA0B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1744756" y="4453497"/>
                                      <a:ext cx="3116916" cy="112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prstDash val="lgDashDot"/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130" name="Straight Connector 9">
                                      <a:extLst>
                                        <a:ext uri="{FF2B5EF4-FFF2-40B4-BE49-F238E27FC236}">
                                          <a16:creationId xmlns:a16="http://schemas.microsoft.com/office/drawing/2014/main" id="{A8287854-E41E-4923-842B-FCAF2FDAAD1E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1751479" y="5817813"/>
                                      <a:ext cx="3116916" cy="112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prstDash val="lgDashDot"/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sp macro="" textlink="">
                                  <xdr:nvSpPr>
                                    <xdr:cNvPr id="135" name="Rectangle 8567830">
                                      <a:extLst>
                                        <a:ext uri="{FF2B5EF4-FFF2-40B4-BE49-F238E27FC236}">
                                          <a16:creationId xmlns:a16="http://schemas.microsoft.com/office/drawing/2014/main" id="{0DB81FB9-DE7E-4066-9ED2-AFCFB41ABB63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 bwMode="auto">
                                    <a:xfrm>
                                      <a:off x="2226609" y="4217894"/>
                                      <a:ext cx="2231651" cy="183412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9050" cap="flat" cmpd="sng" algn="ctr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  <a:effectLst/>
                                  </xdr:spPr>
                                  <xdr:txBody>
                                    <a:bodyPr vertOverflow="clip" wrap="square" lIns="18288" tIns="0" rIns="0" bIns="0" rtlCol="0" anchor="ctr" upright="1"/>
                                    <a:lstStyle/>
                                    <a:p>
                                      <a:pPr algn="l"/>
                                      <a:endParaRPr lang="en-US" sz="1100"/>
                                    </a:p>
                                  </xdr:txBody>
                                </xdr:sp>
                              </xdr:grpSp>
                              <xdr:grpSp>
                                <xdr:nvGrpSpPr>
                                  <xdr:cNvPr id="174" name="Nhóm 173">
                                    <a:extLst>
                                      <a:ext uri="{FF2B5EF4-FFF2-40B4-BE49-F238E27FC236}">
                                        <a16:creationId xmlns:a16="http://schemas.microsoft.com/office/drawing/2014/main" id="{ED6A29D0-DFBB-4C8A-8256-3C49CE3B3D9C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 rot="16200000">
                                    <a:off x="3996037" y="4975411"/>
                                    <a:ext cx="1374577" cy="345107"/>
                                    <a:chOff x="5078016" y="1518047"/>
                                    <a:chExt cx="1579434" cy="345107"/>
                                  </a:xfrm>
                                </xdr:grpSpPr>
                                <xdr:sp macro="" textlink="">
                                  <xdr:nvSpPr>
                                    <xdr:cNvPr id="175" name="TextBox 117">
                                      <a:extLst>
                                        <a:ext uri="{FF2B5EF4-FFF2-40B4-BE49-F238E27FC236}">
                                          <a16:creationId xmlns:a16="http://schemas.microsoft.com/office/drawing/2014/main" id="{6673BB82-C546-6BA9-40EF-5E78982A1ACE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5696978" y="1518047"/>
                                      <a:ext cx="435038" cy="345107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pPr marL="0" marR="0" lvl="0" indent="0" defTabSz="914400" eaLnBrk="1" fontAlgn="auto" latinLnBrk="0" hangingPunct="1">
                                        <a:lnSpc>
                                          <a:spcPct val="100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Tx/>
                                        <a:buSzTx/>
                                        <a:buFontTx/>
                                        <a:buNone/>
                                        <a:tabLst/>
                                        <a:defRPr/>
                                      </a:pPr>
                                      <a:r>
                                        <a:rPr lang="en-US" sz="1200">
                                          <a:latin typeface="Calibri (Body)"/>
                                          <a:cs typeface="Times New Roman" panose="02020603050405020304" pitchFamily="18" charset="0"/>
                                        </a:rPr>
                                        <a:t>L</a:t>
                                      </a:r>
                                      <a:r>
                                        <a:rPr lang="en-US" sz="1200" baseline="-25000">
                                          <a:latin typeface="Calibri (Body)"/>
                                        </a:rPr>
                                        <a:t>2 </a:t>
                                      </a:r>
                                      <a:endParaRPr lang="en-US" sz="1200">
                                        <a:effectLst/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176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92EDB9CD-A518-F4C7-6352-963EF47D1B3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078016" y="1766784"/>
                                      <a:ext cx="1579434" cy="3649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54</xdr:row>
      <xdr:rowOff>104775</xdr:rowOff>
    </xdr:from>
    <xdr:to>
      <xdr:col>9</xdr:col>
      <xdr:colOff>180975</xdr:colOff>
      <xdr:row>56</xdr:row>
      <xdr:rowOff>9525</xdr:rowOff>
    </xdr:to>
    <xdr:pic>
      <xdr:nvPicPr>
        <xdr:cNvPr id="473629" name="Picture 1" descr="4T42-44">
          <a:extLst>
            <a:ext uri="{FF2B5EF4-FFF2-40B4-BE49-F238E27FC236}">
              <a16:creationId xmlns:a16="http://schemas.microsoft.com/office/drawing/2014/main" id="{00000000-0008-0000-0100-00001D3A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16" t="55437" r="25687" b="33511"/>
        <a:stretch>
          <a:fillRect/>
        </a:stretch>
      </xdr:blipFill>
      <xdr:spPr bwMode="auto">
        <a:xfrm>
          <a:off x="1028700" y="9829800"/>
          <a:ext cx="1819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64</xdr:row>
      <xdr:rowOff>104775</xdr:rowOff>
    </xdr:from>
    <xdr:to>
      <xdr:col>9</xdr:col>
      <xdr:colOff>180975</xdr:colOff>
      <xdr:row>66</xdr:row>
      <xdr:rowOff>9525</xdr:rowOff>
    </xdr:to>
    <xdr:pic>
      <xdr:nvPicPr>
        <xdr:cNvPr id="473630" name="Picture 2" descr="4T42-44">
          <a:extLst>
            <a:ext uri="{FF2B5EF4-FFF2-40B4-BE49-F238E27FC236}">
              <a16:creationId xmlns:a16="http://schemas.microsoft.com/office/drawing/2014/main" id="{00000000-0008-0000-0100-00001E3A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16" t="55437" r="25687" b="33511"/>
        <a:stretch>
          <a:fillRect/>
        </a:stretch>
      </xdr:blipFill>
      <xdr:spPr bwMode="auto">
        <a:xfrm>
          <a:off x="1028700" y="11401425"/>
          <a:ext cx="1819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114300</xdr:colOff>
      <xdr:row>69</xdr:row>
      <xdr:rowOff>142875</xdr:rowOff>
    </xdr:from>
    <xdr:to>
      <xdr:col>7</xdr:col>
      <xdr:colOff>152400</xdr:colOff>
      <xdr:row>73</xdr:row>
      <xdr:rowOff>47625</xdr:rowOff>
    </xdr:to>
    <xdr:pic>
      <xdr:nvPicPr>
        <xdr:cNvPr id="473631" name="Picture 3" descr="4T42-44">
          <a:extLst>
            <a:ext uri="{FF2B5EF4-FFF2-40B4-BE49-F238E27FC236}">
              <a16:creationId xmlns:a16="http://schemas.microsoft.com/office/drawing/2014/main" id="{00000000-0008-0000-0100-00001F3A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82" t="22104" r="50589" b="46524"/>
        <a:stretch>
          <a:fillRect/>
        </a:stretch>
      </xdr:blipFill>
      <xdr:spPr bwMode="auto">
        <a:xfrm>
          <a:off x="1781175" y="12258675"/>
          <a:ext cx="6953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410597</xdr:colOff>
      <xdr:row>98</xdr:row>
      <xdr:rowOff>0</xdr:rowOff>
    </xdr:from>
    <xdr:to>
      <xdr:col>10</xdr:col>
      <xdr:colOff>592207</xdr:colOff>
      <xdr:row>98</xdr:row>
      <xdr:rowOff>0</xdr:rowOff>
    </xdr:to>
    <xdr:grpSp>
      <xdr:nvGrpSpPr>
        <xdr:cNvPr id="2" name="Group 9">
          <a:extLst>
            <a:ext uri="{FF2B5EF4-FFF2-40B4-BE49-F238E27FC236}">
              <a16:creationId xmlns:a16="http://schemas.microsoft.com/office/drawing/2014/main" id="{267F6F52-5DEC-4955-8712-13FCA60A2885}"/>
            </a:ext>
          </a:extLst>
        </xdr:cNvPr>
        <xdr:cNvGrpSpPr>
          <a:grpSpLocks/>
        </xdr:cNvGrpSpPr>
      </xdr:nvGrpSpPr>
      <xdr:grpSpPr bwMode="auto">
        <a:xfrm>
          <a:off x="6474847" y="23437850"/>
          <a:ext cx="1464310" cy="0"/>
          <a:chOff x="497" y="3068"/>
          <a:chExt cx="140" cy="102"/>
        </a:xfrm>
      </xdr:grpSpPr>
      <xdr:sp macro="" textlink="">
        <xdr:nvSpPr>
          <xdr:cNvPr id="3" name="Line 10">
            <a:extLst>
              <a:ext uri="{FF2B5EF4-FFF2-40B4-BE49-F238E27FC236}">
                <a16:creationId xmlns:a16="http://schemas.microsoft.com/office/drawing/2014/main" id="{96A35D62-4A38-265F-01AD-778653F074AB}"/>
              </a:ext>
            </a:extLst>
          </xdr:cNvPr>
          <xdr:cNvSpPr>
            <a:spLocks noChangeShapeType="1"/>
          </xdr:cNvSpPr>
        </xdr:nvSpPr>
        <xdr:spPr bwMode="auto">
          <a:xfrm>
            <a:off x="519" y="3120"/>
            <a:ext cx="0" cy="4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11">
            <a:extLst>
              <a:ext uri="{FF2B5EF4-FFF2-40B4-BE49-F238E27FC236}">
                <a16:creationId xmlns:a16="http://schemas.microsoft.com/office/drawing/2014/main" id="{B4A6E15C-9D2D-3E41-B335-5696A7CB8ACF}"/>
              </a:ext>
            </a:extLst>
          </xdr:cNvPr>
          <xdr:cNvSpPr>
            <a:spLocks noChangeShapeType="1"/>
          </xdr:cNvSpPr>
        </xdr:nvSpPr>
        <xdr:spPr bwMode="auto">
          <a:xfrm>
            <a:off x="630" y="3119"/>
            <a:ext cx="0" cy="5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2">
            <a:extLst>
              <a:ext uri="{FF2B5EF4-FFF2-40B4-BE49-F238E27FC236}">
                <a16:creationId xmlns:a16="http://schemas.microsoft.com/office/drawing/2014/main" id="{01C1FCED-97DD-3F8F-BC92-28D7AB42A7E4}"/>
              </a:ext>
            </a:extLst>
          </xdr:cNvPr>
          <xdr:cNvSpPr>
            <a:spLocks noChangeShapeType="1"/>
          </xdr:cNvSpPr>
        </xdr:nvSpPr>
        <xdr:spPr bwMode="auto">
          <a:xfrm>
            <a:off x="518" y="3120"/>
            <a:ext cx="112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3">
            <a:extLst>
              <a:ext uri="{FF2B5EF4-FFF2-40B4-BE49-F238E27FC236}">
                <a16:creationId xmlns:a16="http://schemas.microsoft.com/office/drawing/2014/main" id="{10C58B6C-06C6-AB21-E934-CACFBABC1F50}"/>
              </a:ext>
            </a:extLst>
          </xdr:cNvPr>
          <xdr:cNvSpPr>
            <a:spLocks noChangeShapeType="1"/>
          </xdr:cNvSpPr>
        </xdr:nvSpPr>
        <xdr:spPr bwMode="auto">
          <a:xfrm>
            <a:off x="519" y="3167"/>
            <a:ext cx="112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4">
            <a:extLst>
              <a:ext uri="{FF2B5EF4-FFF2-40B4-BE49-F238E27FC236}">
                <a16:creationId xmlns:a16="http://schemas.microsoft.com/office/drawing/2014/main" id="{7CDE35FC-AC84-B83C-5DF6-FF0325D384D2}"/>
              </a:ext>
            </a:extLst>
          </xdr:cNvPr>
          <xdr:cNvSpPr>
            <a:spLocks noChangeShapeType="1"/>
          </xdr:cNvSpPr>
        </xdr:nvSpPr>
        <xdr:spPr bwMode="auto">
          <a:xfrm>
            <a:off x="517" y="3069"/>
            <a:ext cx="0" cy="3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5">
            <a:extLst>
              <a:ext uri="{FF2B5EF4-FFF2-40B4-BE49-F238E27FC236}">
                <a16:creationId xmlns:a16="http://schemas.microsoft.com/office/drawing/2014/main" id="{79C7C593-E7F3-37D4-EE4C-67CF715FEEEE}"/>
              </a:ext>
            </a:extLst>
          </xdr:cNvPr>
          <xdr:cNvSpPr>
            <a:spLocks noChangeShapeType="1"/>
          </xdr:cNvSpPr>
        </xdr:nvSpPr>
        <xdr:spPr bwMode="auto">
          <a:xfrm>
            <a:off x="630" y="3068"/>
            <a:ext cx="0" cy="36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6">
            <a:extLst>
              <a:ext uri="{FF2B5EF4-FFF2-40B4-BE49-F238E27FC236}">
                <a16:creationId xmlns:a16="http://schemas.microsoft.com/office/drawing/2014/main" id="{430022D8-13F6-8472-21D0-DF0F242C4373}"/>
              </a:ext>
            </a:extLst>
          </xdr:cNvPr>
          <xdr:cNvSpPr>
            <a:spLocks noChangeShapeType="1"/>
          </xdr:cNvSpPr>
        </xdr:nvSpPr>
        <xdr:spPr bwMode="auto">
          <a:xfrm>
            <a:off x="517" y="3074"/>
            <a:ext cx="113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7">
            <a:extLst>
              <a:ext uri="{FF2B5EF4-FFF2-40B4-BE49-F238E27FC236}">
                <a16:creationId xmlns:a16="http://schemas.microsoft.com/office/drawing/2014/main" id="{7C1FD48A-D5F2-87B2-9DB9-F20A120EC58E}"/>
              </a:ext>
            </a:extLst>
          </xdr:cNvPr>
          <xdr:cNvSpPr>
            <a:spLocks noChangeShapeType="1"/>
          </xdr:cNvSpPr>
        </xdr:nvSpPr>
        <xdr:spPr bwMode="auto">
          <a:xfrm>
            <a:off x="497" y="3120"/>
            <a:ext cx="18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8">
            <a:extLst>
              <a:ext uri="{FF2B5EF4-FFF2-40B4-BE49-F238E27FC236}">
                <a16:creationId xmlns:a16="http://schemas.microsoft.com/office/drawing/2014/main" id="{12D5FCC2-8150-B25E-2EB5-332D196F7963}"/>
              </a:ext>
            </a:extLst>
          </xdr:cNvPr>
          <xdr:cNvSpPr>
            <a:spLocks noChangeShapeType="1"/>
          </xdr:cNvSpPr>
        </xdr:nvSpPr>
        <xdr:spPr bwMode="auto">
          <a:xfrm>
            <a:off x="498" y="3167"/>
            <a:ext cx="21" cy="0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9">
            <a:extLst>
              <a:ext uri="{FF2B5EF4-FFF2-40B4-BE49-F238E27FC236}">
                <a16:creationId xmlns:a16="http://schemas.microsoft.com/office/drawing/2014/main" id="{983E00AC-AA85-94D6-DDE4-DD330173D93B}"/>
              </a:ext>
            </a:extLst>
          </xdr:cNvPr>
          <xdr:cNvSpPr>
            <a:spLocks noChangeShapeType="1"/>
          </xdr:cNvSpPr>
        </xdr:nvSpPr>
        <xdr:spPr bwMode="auto">
          <a:xfrm>
            <a:off x="505" y="3117"/>
            <a:ext cx="0" cy="49"/>
          </a:xfrm>
          <a:prstGeom prst="line">
            <a:avLst/>
          </a:prstGeom>
          <a:noFill/>
          <a:ln w="3175">
            <a:solidFill>
              <a:srgbClr val="000000"/>
            </a:solidFill>
            <a:round/>
            <a:headEnd type="triangle" w="sm" len="lg"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" name="Group 20">
            <a:extLst>
              <a:ext uri="{FF2B5EF4-FFF2-40B4-BE49-F238E27FC236}">
                <a16:creationId xmlns:a16="http://schemas.microsoft.com/office/drawing/2014/main" id="{4C721903-FFF0-89D2-94E6-369C938C0A48}"/>
              </a:ext>
            </a:extLst>
          </xdr:cNvPr>
          <xdr:cNvGrpSpPr>
            <a:grpSpLocks/>
          </xdr:cNvGrpSpPr>
        </xdr:nvGrpSpPr>
        <xdr:grpSpPr bwMode="auto">
          <a:xfrm>
            <a:off x="531" y="3115"/>
            <a:ext cx="10" cy="6"/>
            <a:chOff x="545" y="3239"/>
            <a:chExt cx="10" cy="6"/>
          </a:xfrm>
        </xdr:grpSpPr>
        <xdr:sp macro="" textlink="">
          <xdr:nvSpPr>
            <xdr:cNvPr id="50" name="Line 21">
              <a:extLst>
                <a:ext uri="{FF2B5EF4-FFF2-40B4-BE49-F238E27FC236}">
                  <a16:creationId xmlns:a16="http://schemas.microsoft.com/office/drawing/2014/main" id="{EE4018EF-215E-4484-02C7-604FD9C801F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1" name="Line 22">
              <a:extLst>
                <a:ext uri="{FF2B5EF4-FFF2-40B4-BE49-F238E27FC236}">
                  <a16:creationId xmlns:a16="http://schemas.microsoft.com/office/drawing/2014/main" id="{C049D4D5-C18A-FAD1-89AF-D99C236715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4" name="Group 23">
            <a:extLst>
              <a:ext uri="{FF2B5EF4-FFF2-40B4-BE49-F238E27FC236}">
                <a16:creationId xmlns:a16="http://schemas.microsoft.com/office/drawing/2014/main" id="{9322BA80-064D-D242-7547-12A966FA365C}"/>
              </a:ext>
            </a:extLst>
          </xdr:cNvPr>
          <xdr:cNvGrpSpPr>
            <a:grpSpLocks/>
          </xdr:cNvGrpSpPr>
        </xdr:nvGrpSpPr>
        <xdr:grpSpPr bwMode="auto">
          <a:xfrm>
            <a:off x="515" y="3114"/>
            <a:ext cx="10" cy="6"/>
            <a:chOff x="545" y="3239"/>
            <a:chExt cx="10" cy="6"/>
          </a:xfrm>
        </xdr:grpSpPr>
        <xdr:sp macro="" textlink="">
          <xdr:nvSpPr>
            <xdr:cNvPr id="48" name="Line 24">
              <a:extLst>
                <a:ext uri="{FF2B5EF4-FFF2-40B4-BE49-F238E27FC236}">
                  <a16:creationId xmlns:a16="http://schemas.microsoft.com/office/drawing/2014/main" id="{F1F58D4D-9BC8-A8B6-9768-74CB9C42733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" name="Line 25">
              <a:extLst>
                <a:ext uri="{FF2B5EF4-FFF2-40B4-BE49-F238E27FC236}">
                  <a16:creationId xmlns:a16="http://schemas.microsoft.com/office/drawing/2014/main" id="{1B2D29D7-C40D-78B2-164E-B8CE81217C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5" name="Group 26">
            <a:extLst>
              <a:ext uri="{FF2B5EF4-FFF2-40B4-BE49-F238E27FC236}">
                <a16:creationId xmlns:a16="http://schemas.microsoft.com/office/drawing/2014/main" id="{7D9F6D49-9154-3E5B-A0A0-00307102698A}"/>
              </a:ext>
            </a:extLst>
          </xdr:cNvPr>
          <xdr:cNvGrpSpPr>
            <a:grpSpLocks/>
          </xdr:cNvGrpSpPr>
        </xdr:nvGrpSpPr>
        <xdr:grpSpPr bwMode="auto">
          <a:xfrm>
            <a:off x="548" y="3115"/>
            <a:ext cx="10" cy="6"/>
            <a:chOff x="545" y="3239"/>
            <a:chExt cx="10" cy="6"/>
          </a:xfrm>
        </xdr:grpSpPr>
        <xdr:sp macro="" textlink="">
          <xdr:nvSpPr>
            <xdr:cNvPr id="46" name="Line 27">
              <a:extLst>
                <a:ext uri="{FF2B5EF4-FFF2-40B4-BE49-F238E27FC236}">
                  <a16:creationId xmlns:a16="http://schemas.microsoft.com/office/drawing/2014/main" id="{022C8443-A995-533F-EC7A-6F52AE8F0C2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" name="Line 28">
              <a:extLst>
                <a:ext uri="{FF2B5EF4-FFF2-40B4-BE49-F238E27FC236}">
                  <a16:creationId xmlns:a16="http://schemas.microsoft.com/office/drawing/2014/main" id="{E92051D2-2523-CEFC-BB5A-F630293634F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6" name="Group 29">
            <a:extLst>
              <a:ext uri="{FF2B5EF4-FFF2-40B4-BE49-F238E27FC236}">
                <a16:creationId xmlns:a16="http://schemas.microsoft.com/office/drawing/2014/main" id="{2F44F261-79D3-356D-66ED-A9CE7BE61DF0}"/>
              </a:ext>
            </a:extLst>
          </xdr:cNvPr>
          <xdr:cNvGrpSpPr>
            <a:grpSpLocks/>
          </xdr:cNvGrpSpPr>
        </xdr:nvGrpSpPr>
        <xdr:grpSpPr bwMode="auto">
          <a:xfrm>
            <a:off x="564" y="3113"/>
            <a:ext cx="10" cy="6"/>
            <a:chOff x="545" y="3239"/>
            <a:chExt cx="10" cy="6"/>
          </a:xfrm>
        </xdr:grpSpPr>
        <xdr:sp macro="" textlink="">
          <xdr:nvSpPr>
            <xdr:cNvPr id="44" name="Line 30">
              <a:extLst>
                <a:ext uri="{FF2B5EF4-FFF2-40B4-BE49-F238E27FC236}">
                  <a16:creationId xmlns:a16="http://schemas.microsoft.com/office/drawing/2014/main" id="{E67FF5F9-A61E-FC70-FCD3-DA70E1071A3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" name="Line 31">
              <a:extLst>
                <a:ext uri="{FF2B5EF4-FFF2-40B4-BE49-F238E27FC236}">
                  <a16:creationId xmlns:a16="http://schemas.microsoft.com/office/drawing/2014/main" id="{997A42CB-D20C-E81A-0A30-D21CB8D0A7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7" name="Group 32">
            <a:extLst>
              <a:ext uri="{FF2B5EF4-FFF2-40B4-BE49-F238E27FC236}">
                <a16:creationId xmlns:a16="http://schemas.microsoft.com/office/drawing/2014/main" id="{555122DB-8BCD-A402-9680-CE6213B6CD2E}"/>
              </a:ext>
            </a:extLst>
          </xdr:cNvPr>
          <xdr:cNvGrpSpPr>
            <a:grpSpLocks/>
          </xdr:cNvGrpSpPr>
        </xdr:nvGrpSpPr>
        <xdr:grpSpPr bwMode="auto">
          <a:xfrm>
            <a:off x="584" y="3113"/>
            <a:ext cx="10" cy="6"/>
            <a:chOff x="545" y="3239"/>
            <a:chExt cx="10" cy="6"/>
          </a:xfrm>
        </xdr:grpSpPr>
        <xdr:sp macro="" textlink="">
          <xdr:nvSpPr>
            <xdr:cNvPr id="42" name="Line 33">
              <a:extLst>
                <a:ext uri="{FF2B5EF4-FFF2-40B4-BE49-F238E27FC236}">
                  <a16:creationId xmlns:a16="http://schemas.microsoft.com/office/drawing/2014/main" id="{586D82F9-7B0C-3B2D-BA53-7E50B9743E8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3" name="Line 34">
              <a:extLst>
                <a:ext uri="{FF2B5EF4-FFF2-40B4-BE49-F238E27FC236}">
                  <a16:creationId xmlns:a16="http://schemas.microsoft.com/office/drawing/2014/main" id="{88528594-A975-2B61-DA34-F0BDAAB1C60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8" name="Group 35">
            <a:extLst>
              <a:ext uri="{FF2B5EF4-FFF2-40B4-BE49-F238E27FC236}">
                <a16:creationId xmlns:a16="http://schemas.microsoft.com/office/drawing/2014/main" id="{049B98E2-7DB6-7F9C-2EDC-F07090F22F12}"/>
              </a:ext>
            </a:extLst>
          </xdr:cNvPr>
          <xdr:cNvGrpSpPr>
            <a:grpSpLocks/>
          </xdr:cNvGrpSpPr>
        </xdr:nvGrpSpPr>
        <xdr:grpSpPr bwMode="auto">
          <a:xfrm>
            <a:off x="600" y="3114"/>
            <a:ext cx="10" cy="6"/>
            <a:chOff x="545" y="3239"/>
            <a:chExt cx="10" cy="6"/>
          </a:xfrm>
        </xdr:grpSpPr>
        <xdr:sp macro="" textlink="">
          <xdr:nvSpPr>
            <xdr:cNvPr id="40" name="Line 36">
              <a:extLst>
                <a:ext uri="{FF2B5EF4-FFF2-40B4-BE49-F238E27FC236}">
                  <a16:creationId xmlns:a16="http://schemas.microsoft.com/office/drawing/2014/main" id="{1DE05981-D44C-C3CE-F763-D193047667F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1" name="Line 37">
              <a:extLst>
                <a:ext uri="{FF2B5EF4-FFF2-40B4-BE49-F238E27FC236}">
                  <a16:creationId xmlns:a16="http://schemas.microsoft.com/office/drawing/2014/main" id="{DB398616-4822-84BA-5CEE-0DBE29ACC2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9" name="Group 38">
            <a:extLst>
              <a:ext uri="{FF2B5EF4-FFF2-40B4-BE49-F238E27FC236}">
                <a16:creationId xmlns:a16="http://schemas.microsoft.com/office/drawing/2014/main" id="{4838E9A2-6BC4-FC94-020A-E6F8BADB80EE}"/>
              </a:ext>
            </a:extLst>
          </xdr:cNvPr>
          <xdr:cNvGrpSpPr>
            <a:grpSpLocks/>
          </xdr:cNvGrpSpPr>
        </xdr:nvGrpSpPr>
        <xdr:grpSpPr bwMode="auto">
          <a:xfrm>
            <a:off x="617" y="3113"/>
            <a:ext cx="10" cy="6"/>
            <a:chOff x="545" y="3239"/>
            <a:chExt cx="10" cy="6"/>
          </a:xfrm>
        </xdr:grpSpPr>
        <xdr:sp macro="" textlink="">
          <xdr:nvSpPr>
            <xdr:cNvPr id="38" name="Line 39">
              <a:extLst>
                <a:ext uri="{FF2B5EF4-FFF2-40B4-BE49-F238E27FC236}">
                  <a16:creationId xmlns:a16="http://schemas.microsoft.com/office/drawing/2014/main" id="{6BE9924C-5F88-D7F7-18D2-8A234A674ED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" y="3239"/>
              <a:ext cx="9" cy="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9" name="Line 40">
              <a:extLst>
                <a:ext uri="{FF2B5EF4-FFF2-40B4-BE49-F238E27FC236}">
                  <a16:creationId xmlns:a16="http://schemas.microsoft.com/office/drawing/2014/main" id="{238E3DA0-F514-BDAC-0B07-479E4DD04B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46" y="3240"/>
              <a:ext cx="9" cy="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0" name="Group 41">
            <a:extLst>
              <a:ext uri="{FF2B5EF4-FFF2-40B4-BE49-F238E27FC236}">
                <a16:creationId xmlns:a16="http://schemas.microsoft.com/office/drawing/2014/main" id="{0E906CB3-9ACF-1E7B-B558-B7978A825233}"/>
              </a:ext>
            </a:extLst>
          </xdr:cNvPr>
          <xdr:cNvGrpSpPr>
            <a:grpSpLocks/>
          </xdr:cNvGrpSpPr>
        </xdr:nvGrpSpPr>
        <xdr:grpSpPr bwMode="auto">
          <a:xfrm>
            <a:off x="630" y="3123"/>
            <a:ext cx="7" cy="9"/>
            <a:chOff x="653" y="3197"/>
            <a:chExt cx="7" cy="9"/>
          </a:xfrm>
        </xdr:grpSpPr>
        <xdr:sp macro="" textlink="">
          <xdr:nvSpPr>
            <xdr:cNvPr id="36" name="Line 42">
              <a:extLst>
                <a:ext uri="{FF2B5EF4-FFF2-40B4-BE49-F238E27FC236}">
                  <a16:creationId xmlns:a16="http://schemas.microsoft.com/office/drawing/2014/main" id="{71DC1C96-1B4E-7466-BDDF-2C3E6AA911B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7" name="Line 43">
              <a:extLst>
                <a:ext uri="{FF2B5EF4-FFF2-40B4-BE49-F238E27FC236}">
                  <a16:creationId xmlns:a16="http://schemas.microsoft.com/office/drawing/2014/main" id="{F71D8BA0-8756-0836-1DE3-2F7185AE8B4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1" name="Group 44">
            <a:extLst>
              <a:ext uri="{FF2B5EF4-FFF2-40B4-BE49-F238E27FC236}">
                <a16:creationId xmlns:a16="http://schemas.microsoft.com/office/drawing/2014/main" id="{4A158E28-8A2A-6C22-ACF0-B047F4A1F981}"/>
              </a:ext>
            </a:extLst>
          </xdr:cNvPr>
          <xdr:cNvGrpSpPr>
            <a:grpSpLocks/>
          </xdr:cNvGrpSpPr>
        </xdr:nvGrpSpPr>
        <xdr:grpSpPr bwMode="auto">
          <a:xfrm>
            <a:off x="629" y="3140"/>
            <a:ext cx="7" cy="9"/>
            <a:chOff x="653" y="3197"/>
            <a:chExt cx="7" cy="9"/>
          </a:xfrm>
        </xdr:grpSpPr>
        <xdr:sp macro="" textlink="">
          <xdr:nvSpPr>
            <xdr:cNvPr id="34" name="Line 45">
              <a:extLst>
                <a:ext uri="{FF2B5EF4-FFF2-40B4-BE49-F238E27FC236}">
                  <a16:creationId xmlns:a16="http://schemas.microsoft.com/office/drawing/2014/main" id="{E9568700-2717-ECDC-344B-33483A070CD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Line 46">
              <a:extLst>
                <a:ext uri="{FF2B5EF4-FFF2-40B4-BE49-F238E27FC236}">
                  <a16:creationId xmlns:a16="http://schemas.microsoft.com/office/drawing/2014/main" id="{E3FBF743-8259-D504-338A-593AE111936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2" name="Group 47">
            <a:extLst>
              <a:ext uri="{FF2B5EF4-FFF2-40B4-BE49-F238E27FC236}">
                <a16:creationId xmlns:a16="http://schemas.microsoft.com/office/drawing/2014/main" id="{C0057558-FA51-7307-1C89-FEF1CE9D9012}"/>
              </a:ext>
            </a:extLst>
          </xdr:cNvPr>
          <xdr:cNvGrpSpPr>
            <a:grpSpLocks/>
          </xdr:cNvGrpSpPr>
        </xdr:nvGrpSpPr>
        <xdr:grpSpPr bwMode="auto">
          <a:xfrm>
            <a:off x="629" y="3158"/>
            <a:ext cx="7" cy="9"/>
            <a:chOff x="653" y="3197"/>
            <a:chExt cx="7" cy="9"/>
          </a:xfrm>
        </xdr:grpSpPr>
        <xdr:sp macro="" textlink="">
          <xdr:nvSpPr>
            <xdr:cNvPr id="32" name="Line 48">
              <a:extLst>
                <a:ext uri="{FF2B5EF4-FFF2-40B4-BE49-F238E27FC236}">
                  <a16:creationId xmlns:a16="http://schemas.microsoft.com/office/drawing/2014/main" id="{55606DD8-DE5E-118F-D97D-1E07A723C0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49">
              <a:extLst>
                <a:ext uri="{FF2B5EF4-FFF2-40B4-BE49-F238E27FC236}">
                  <a16:creationId xmlns:a16="http://schemas.microsoft.com/office/drawing/2014/main" id="{A69A3CCB-BC1C-249B-1A2A-6AB5AC00938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3" name="Group 50">
            <a:extLst>
              <a:ext uri="{FF2B5EF4-FFF2-40B4-BE49-F238E27FC236}">
                <a16:creationId xmlns:a16="http://schemas.microsoft.com/office/drawing/2014/main" id="{BFC98381-797C-8D2C-4BBF-AF637BE3EB13}"/>
              </a:ext>
            </a:extLst>
          </xdr:cNvPr>
          <xdr:cNvGrpSpPr>
            <a:grpSpLocks/>
          </xdr:cNvGrpSpPr>
        </xdr:nvGrpSpPr>
        <xdr:grpSpPr bwMode="auto">
          <a:xfrm>
            <a:off x="511" y="3140"/>
            <a:ext cx="7" cy="9"/>
            <a:chOff x="653" y="3197"/>
            <a:chExt cx="7" cy="9"/>
          </a:xfrm>
        </xdr:grpSpPr>
        <xdr:sp macro="" textlink="">
          <xdr:nvSpPr>
            <xdr:cNvPr id="30" name="Line 51">
              <a:extLst>
                <a:ext uri="{FF2B5EF4-FFF2-40B4-BE49-F238E27FC236}">
                  <a16:creationId xmlns:a16="http://schemas.microsoft.com/office/drawing/2014/main" id="{5AA8699E-550B-E8CF-827F-7EF511BC11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52">
              <a:extLst>
                <a:ext uri="{FF2B5EF4-FFF2-40B4-BE49-F238E27FC236}">
                  <a16:creationId xmlns:a16="http://schemas.microsoft.com/office/drawing/2014/main" id="{AE85C373-06B6-CAE3-C9F4-2EE6D96B4DE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4" name="Group 53">
            <a:extLst>
              <a:ext uri="{FF2B5EF4-FFF2-40B4-BE49-F238E27FC236}">
                <a16:creationId xmlns:a16="http://schemas.microsoft.com/office/drawing/2014/main" id="{EDB227D4-7400-8725-757F-67010B5A546A}"/>
              </a:ext>
            </a:extLst>
          </xdr:cNvPr>
          <xdr:cNvGrpSpPr>
            <a:grpSpLocks/>
          </xdr:cNvGrpSpPr>
        </xdr:nvGrpSpPr>
        <xdr:grpSpPr bwMode="auto">
          <a:xfrm>
            <a:off x="511" y="3121"/>
            <a:ext cx="7" cy="9"/>
            <a:chOff x="653" y="3197"/>
            <a:chExt cx="7" cy="9"/>
          </a:xfrm>
        </xdr:grpSpPr>
        <xdr:sp macro="" textlink="">
          <xdr:nvSpPr>
            <xdr:cNvPr id="28" name="Line 54">
              <a:extLst>
                <a:ext uri="{FF2B5EF4-FFF2-40B4-BE49-F238E27FC236}">
                  <a16:creationId xmlns:a16="http://schemas.microsoft.com/office/drawing/2014/main" id="{E4827357-9FFD-8A77-0760-3277404413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55">
              <a:extLst>
                <a:ext uri="{FF2B5EF4-FFF2-40B4-BE49-F238E27FC236}">
                  <a16:creationId xmlns:a16="http://schemas.microsoft.com/office/drawing/2014/main" id="{B6AEDBC9-1E9D-C100-D3FB-8B79AB2266B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25" name="Group 56">
            <a:extLst>
              <a:ext uri="{FF2B5EF4-FFF2-40B4-BE49-F238E27FC236}">
                <a16:creationId xmlns:a16="http://schemas.microsoft.com/office/drawing/2014/main" id="{5AD8531B-F73C-2926-AD0B-C7624B5D652B}"/>
              </a:ext>
            </a:extLst>
          </xdr:cNvPr>
          <xdr:cNvGrpSpPr>
            <a:grpSpLocks/>
          </xdr:cNvGrpSpPr>
        </xdr:nvGrpSpPr>
        <xdr:grpSpPr bwMode="auto">
          <a:xfrm>
            <a:off x="511" y="3158"/>
            <a:ext cx="7" cy="9"/>
            <a:chOff x="653" y="3197"/>
            <a:chExt cx="7" cy="9"/>
          </a:xfrm>
        </xdr:grpSpPr>
        <xdr:sp macro="" textlink="">
          <xdr:nvSpPr>
            <xdr:cNvPr id="26" name="Line 57">
              <a:extLst>
                <a:ext uri="{FF2B5EF4-FFF2-40B4-BE49-F238E27FC236}">
                  <a16:creationId xmlns:a16="http://schemas.microsoft.com/office/drawing/2014/main" id="{FDA76668-843D-2111-8DDE-8ACF4581597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5" y="3197"/>
              <a:ext cx="5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58">
              <a:extLst>
                <a:ext uri="{FF2B5EF4-FFF2-40B4-BE49-F238E27FC236}">
                  <a16:creationId xmlns:a16="http://schemas.microsoft.com/office/drawing/2014/main" id="{8EB25FAC-00DB-2A8D-C9D1-624D7B13E74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653" y="3197"/>
              <a:ext cx="7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0</xdr:col>
      <xdr:colOff>295596</xdr:colOff>
      <xdr:row>131</xdr:row>
      <xdr:rowOff>0</xdr:rowOff>
    </xdr:from>
    <xdr:to>
      <xdr:col>8</xdr:col>
      <xdr:colOff>429526</xdr:colOff>
      <xdr:row>131</xdr:row>
      <xdr:rowOff>0</xdr:rowOff>
    </xdr:to>
    <xdr:grpSp>
      <xdr:nvGrpSpPr>
        <xdr:cNvPr id="52" name="Group 174">
          <a:extLst>
            <a:ext uri="{FF2B5EF4-FFF2-40B4-BE49-F238E27FC236}">
              <a16:creationId xmlns:a16="http://schemas.microsoft.com/office/drawing/2014/main" id="{2A4E1731-9E35-451B-BABC-E15E72BB1485}"/>
            </a:ext>
          </a:extLst>
        </xdr:cNvPr>
        <xdr:cNvGrpSpPr>
          <a:grpSpLocks/>
        </xdr:cNvGrpSpPr>
      </xdr:nvGrpSpPr>
      <xdr:grpSpPr bwMode="auto">
        <a:xfrm>
          <a:off x="295596" y="24276050"/>
          <a:ext cx="6198180" cy="0"/>
          <a:chOff x="67" y="3604"/>
          <a:chExt cx="476" cy="354"/>
        </a:xfrm>
      </xdr:grpSpPr>
      <xdr:sp macro="" textlink="">
        <xdr:nvSpPr>
          <xdr:cNvPr id="53" name="Rectangle 175">
            <a:extLst>
              <a:ext uri="{FF2B5EF4-FFF2-40B4-BE49-F238E27FC236}">
                <a16:creationId xmlns:a16="http://schemas.microsoft.com/office/drawing/2014/main" id="{EC808D2A-B6D5-3935-B8C8-78D8DDC82A57}"/>
              </a:ext>
            </a:extLst>
          </xdr:cNvPr>
          <xdr:cNvSpPr>
            <a:spLocks noChangeArrowheads="1"/>
          </xdr:cNvSpPr>
        </xdr:nvSpPr>
        <xdr:spPr bwMode="auto">
          <a:xfrm>
            <a:off x="67" y="3609"/>
            <a:ext cx="336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Rectangle 176">
            <a:extLst>
              <a:ext uri="{FF2B5EF4-FFF2-40B4-BE49-F238E27FC236}">
                <a16:creationId xmlns:a16="http://schemas.microsoft.com/office/drawing/2014/main" id="{1EF45A9E-CF09-561F-FC97-13B1CF9C7DC3}"/>
              </a:ext>
            </a:extLst>
          </xdr:cNvPr>
          <xdr:cNvSpPr>
            <a:spLocks noChangeArrowheads="1"/>
          </xdr:cNvSpPr>
        </xdr:nvSpPr>
        <xdr:spPr bwMode="auto">
          <a:xfrm>
            <a:off x="147" y="3609"/>
            <a:ext cx="22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Rectangle 177">
            <a:extLst>
              <a:ext uri="{FF2B5EF4-FFF2-40B4-BE49-F238E27FC236}">
                <a16:creationId xmlns:a16="http://schemas.microsoft.com/office/drawing/2014/main" id="{3E1A4541-D863-6A9E-6886-CCC771A6EC77}"/>
              </a:ext>
            </a:extLst>
          </xdr:cNvPr>
          <xdr:cNvSpPr>
            <a:spLocks noChangeArrowheads="1"/>
          </xdr:cNvSpPr>
        </xdr:nvSpPr>
        <xdr:spPr bwMode="auto">
          <a:xfrm>
            <a:off x="302" y="3609"/>
            <a:ext cx="22" cy="348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6" name="Rectangle 178">
            <a:extLst>
              <a:ext uri="{FF2B5EF4-FFF2-40B4-BE49-F238E27FC236}">
                <a16:creationId xmlns:a16="http://schemas.microsoft.com/office/drawing/2014/main" id="{2CD10D1B-749B-C836-B966-E018C6246406}"/>
              </a:ext>
            </a:extLst>
          </xdr:cNvPr>
          <xdr:cNvSpPr>
            <a:spLocks noChangeArrowheads="1"/>
          </xdr:cNvSpPr>
        </xdr:nvSpPr>
        <xdr:spPr bwMode="auto">
          <a:xfrm>
            <a:off x="67" y="3854"/>
            <a:ext cx="336" cy="21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7" name="Rectangle 179">
            <a:extLst>
              <a:ext uri="{FF2B5EF4-FFF2-40B4-BE49-F238E27FC236}">
                <a16:creationId xmlns:a16="http://schemas.microsoft.com/office/drawing/2014/main" id="{7A6F097F-1356-45EA-AB4B-0EE75139E79A}"/>
              </a:ext>
            </a:extLst>
          </xdr:cNvPr>
          <xdr:cNvSpPr>
            <a:spLocks noChangeArrowheads="1"/>
          </xdr:cNvSpPr>
        </xdr:nvSpPr>
        <xdr:spPr bwMode="auto">
          <a:xfrm>
            <a:off x="67" y="3688"/>
            <a:ext cx="336" cy="20"/>
          </a:xfrm>
          <a:prstGeom prst="rect">
            <a:avLst/>
          </a:prstGeom>
          <a:noFill/>
          <a:ln w="63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8" name="Rectangle 180">
            <a:extLst>
              <a:ext uri="{FF2B5EF4-FFF2-40B4-BE49-F238E27FC236}">
                <a16:creationId xmlns:a16="http://schemas.microsoft.com/office/drawing/2014/main" id="{A05E4C05-E817-9F57-5E5B-30BE7EBCD8DB}"/>
              </a:ext>
            </a:extLst>
          </xdr:cNvPr>
          <xdr:cNvSpPr>
            <a:spLocks noChangeArrowheads="1"/>
          </xdr:cNvSpPr>
        </xdr:nvSpPr>
        <xdr:spPr bwMode="auto">
          <a:xfrm>
            <a:off x="207" y="3749"/>
            <a:ext cx="61" cy="62"/>
          </a:xfrm>
          <a:prstGeom prst="rect">
            <a:avLst/>
          </a:prstGeom>
          <a:solidFill>
            <a:srgbClr val="FFFFFF"/>
          </a:solidFill>
          <a:ln w="635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9" name="Line 181">
            <a:extLst>
              <a:ext uri="{FF2B5EF4-FFF2-40B4-BE49-F238E27FC236}">
                <a16:creationId xmlns:a16="http://schemas.microsoft.com/office/drawing/2014/main" id="{B872792C-92A2-E899-FFD5-9772EF305F4C}"/>
              </a:ext>
            </a:extLst>
          </xdr:cNvPr>
          <xdr:cNvSpPr>
            <a:spLocks noChangeShapeType="1"/>
          </xdr:cNvSpPr>
        </xdr:nvSpPr>
        <xdr:spPr bwMode="auto">
          <a:xfrm>
            <a:off x="324" y="3875"/>
            <a:ext cx="8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82">
            <a:extLst>
              <a:ext uri="{FF2B5EF4-FFF2-40B4-BE49-F238E27FC236}">
                <a16:creationId xmlns:a16="http://schemas.microsoft.com/office/drawing/2014/main" id="{FACDC94C-DAFB-CB3C-6834-C72C1C288B0F}"/>
              </a:ext>
            </a:extLst>
          </xdr:cNvPr>
          <xdr:cNvSpPr>
            <a:spLocks noChangeShapeType="1"/>
          </xdr:cNvSpPr>
        </xdr:nvSpPr>
        <xdr:spPr bwMode="auto">
          <a:xfrm flipH="1">
            <a:off x="324" y="3785"/>
            <a:ext cx="79" cy="7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83">
            <a:extLst>
              <a:ext uri="{FF2B5EF4-FFF2-40B4-BE49-F238E27FC236}">
                <a16:creationId xmlns:a16="http://schemas.microsoft.com/office/drawing/2014/main" id="{A9837526-51F8-A650-012F-EA9444764E3B}"/>
              </a:ext>
            </a:extLst>
          </xdr:cNvPr>
          <xdr:cNvSpPr>
            <a:spLocks noChangeShapeType="1"/>
          </xdr:cNvSpPr>
        </xdr:nvSpPr>
        <xdr:spPr bwMode="auto">
          <a:xfrm>
            <a:off x="267" y="3811"/>
            <a:ext cx="36" cy="48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4">
            <a:extLst>
              <a:ext uri="{FF2B5EF4-FFF2-40B4-BE49-F238E27FC236}">
                <a16:creationId xmlns:a16="http://schemas.microsoft.com/office/drawing/2014/main" id="{D524582F-4C13-BA12-1BC4-4C9D1A449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247" y="3877"/>
            <a:ext cx="56" cy="81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5">
            <a:extLst>
              <a:ext uri="{FF2B5EF4-FFF2-40B4-BE49-F238E27FC236}">
                <a16:creationId xmlns:a16="http://schemas.microsoft.com/office/drawing/2014/main" id="{D4A5FFE1-50CC-1893-7CE1-D17B413E5873}"/>
              </a:ext>
            </a:extLst>
          </xdr:cNvPr>
          <xdr:cNvSpPr>
            <a:spLocks noChangeShapeType="1"/>
          </xdr:cNvSpPr>
        </xdr:nvSpPr>
        <xdr:spPr bwMode="auto">
          <a:xfrm flipH="1">
            <a:off x="267" y="3709"/>
            <a:ext cx="34" cy="4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6">
            <a:extLst>
              <a:ext uri="{FF2B5EF4-FFF2-40B4-BE49-F238E27FC236}">
                <a16:creationId xmlns:a16="http://schemas.microsoft.com/office/drawing/2014/main" id="{9F1F448D-2E11-63BF-FEDF-B6E83B9EF0A0}"/>
              </a:ext>
            </a:extLst>
          </xdr:cNvPr>
          <xdr:cNvSpPr>
            <a:spLocks noChangeShapeType="1"/>
          </xdr:cNvSpPr>
        </xdr:nvSpPr>
        <xdr:spPr bwMode="auto">
          <a:xfrm>
            <a:off x="324" y="3708"/>
            <a:ext cx="79" cy="6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7">
            <a:extLst>
              <a:ext uri="{FF2B5EF4-FFF2-40B4-BE49-F238E27FC236}">
                <a16:creationId xmlns:a16="http://schemas.microsoft.com/office/drawing/2014/main" id="{296CD9C0-D389-6D16-8B66-F92E7566FF0A}"/>
              </a:ext>
            </a:extLst>
          </xdr:cNvPr>
          <xdr:cNvSpPr>
            <a:spLocks noChangeShapeType="1"/>
          </xdr:cNvSpPr>
        </xdr:nvSpPr>
        <xdr:spPr bwMode="auto">
          <a:xfrm flipH="1">
            <a:off x="323" y="3608"/>
            <a:ext cx="80" cy="82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8">
            <a:extLst>
              <a:ext uri="{FF2B5EF4-FFF2-40B4-BE49-F238E27FC236}">
                <a16:creationId xmlns:a16="http://schemas.microsoft.com/office/drawing/2014/main" id="{228FA2C9-E928-2089-34B1-86CE9D23F5B7}"/>
              </a:ext>
            </a:extLst>
          </xdr:cNvPr>
          <xdr:cNvSpPr>
            <a:spLocks noChangeShapeType="1"/>
          </xdr:cNvSpPr>
        </xdr:nvSpPr>
        <xdr:spPr bwMode="auto">
          <a:xfrm>
            <a:off x="236" y="3609"/>
            <a:ext cx="67" cy="8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9">
            <a:extLst>
              <a:ext uri="{FF2B5EF4-FFF2-40B4-BE49-F238E27FC236}">
                <a16:creationId xmlns:a16="http://schemas.microsoft.com/office/drawing/2014/main" id="{01F1F2BB-7D16-B6C0-ABD4-E76C14E4D428}"/>
              </a:ext>
            </a:extLst>
          </xdr:cNvPr>
          <xdr:cNvSpPr>
            <a:spLocks noChangeShapeType="1"/>
          </xdr:cNvSpPr>
        </xdr:nvSpPr>
        <xdr:spPr bwMode="auto">
          <a:xfrm>
            <a:off x="541" y="3604"/>
            <a:ext cx="0" cy="3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90">
            <a:extLst>
              <a:ext uri="{FF2B5EF4-FFF2-40B4-BE49-F238E27FC236}">
                <a16:creationId xmlns:a16="http://schemas.microsoft.com/office/drawing/2014/main" id="{BB142D2F-FF9C-AD5A-DC83-03F2FD95D9BA}"/>
              </a:ext>
            </a:extLst>
          </xdr:cNvPr>
          <xdr:cNvSpPr>
            <a:spLocks noChangeShapeType="1"/>
          </xdr:cNvSpPr>
        </xdr:nvSpPr>
        <xdr:spPr bwMode="auto">
          <a:xfrm>
            <a:off x="473" y="3958"/>
            <a:ext cx="7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191">
            <a:extLst>
              <a:ext uri="{FF2B5EF4-FFF2-40B4-BE49-F238E27FC236}">
                <a16:creationId xmlns:a16="http://schemas.microsoft.com/office/drawing/2014/main" id="{77B327AF-38B9-8032-8A8A-C492E882D821}"/>
              </a:ext>
            </a:extLst>
          </xdr:cNvPr>
          <xdr:cNvSpPr>
            <a:spLocks noChangeShapeType="1"/>
          </xdr:cNvSpPr>
        </xdr:nvSpPr>
        <xdr:spPr bwMode="auto">
          <a:xfrm flipH="1">
            <a:off x="474" y="3865"/>
            <a:ext cx="66" cy="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192">
            <a:extLst>
              <a:ext uri="{FF2B5EF4-FFF2-40B4-BE49-F238E27FC236}">
                <a16:creationId xmlns:a16="http://schemas.microsoft.com/office/drawing/2014/main" id="{4E863C06-DDBE-82C4-ABF6-B43AFD57378D}"/>
              </a:ext>
            </a:extLst>
          </xdr:cNvPr>
          <xdr:cNvSpPr>
            <a:spLocks noChangeShapeType="1"/>
          </xdr:cNvSpPr>
        </xdr:nvSpPr>
        <xdr:spPr bwMode="auto">
          <a:xfrm>
            <a:off x="471" y="3790"/>
            <a:ext cx="70" cy="7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193">
            <a:extLst>
              <a:ext uri="{FF2B5EF4-FFF2-40B4-BE49-F238E27FC236}">
                <a16:creationId xmlns:a16="http://schemas.microsoft.com/office/drawing/2014/main" id="{4C7ED582-6BE7-BB72-EDA6-C51A5B1928FD}"/>
              </a:ext>
            </a:extLst>
          </xdr:cNvPr>
          <xdr:cNvSpPr>
            <a:spLocks noChangeShapeType="1"/>
          </xdr:cNvSpPr>
        </xdr:nvSpPr>
        <xdr:spPr bwMode="auto">
          <a:xfrm flipH="1">
            <a:off x="470" y="3699"/>
            <a:ext cx="70" cy="7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194">
            <a:extLst>
              <a:ext uri="{FF2B5EF4-FFF2-40B4-BE49-F238E27FC236}">
                <a16:creationId xmlns:a16="http://schemas.microsoft.com/office/drawing/2014/main" id="{B3E572C9-3925-353A-1A44-C8BE63315D3B}"/>
              </a:ext>
            </a:extLst>
          </xdr:cNvPr>
          <xdr:cNvSpPr>
            <a:spLocks noChangeShapeType="1"/>
          </xdr:cNvSpPr>
        </xdr:nvSpPr>
        <xdr:spPr bwMode="auto">
          <a:xfrm>
            <a:off x="473" y="3604"/>
            <a:ext cx="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195">
            <a:extLst>
              <a:ext uri="{FF2B5EF4-FFF2-40B4-BE49-F238E27FC236}">
                <a16:creationId xmlns:a16="http://schemas.microsoft.com/office/drawing/2014/main" id="{0873C48D-ED8B-F5A7-4ADE-991C76186412}"/>
              </a:ext>
            </a:extLst>
          </xdr:cNvPr>
          <xdr:cNvSpPr>
            <a:spLocks noChangeShapeType="1"/>
          </xdr:cNvSpPr>
        </xdr:nvSpPr>
        <xdr:spPr bwMode="auto">
          <a:xfrm>
            <a:off x="473" y="3604"/>
            <a:ext cx="68" cy="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196">
            <a:extLst>
              <a:ext uri="{FF2B5EF4-FFF2-40B4-BE49-F238E27FC236}">
                <a16:creationId xmlns:a16="http://schemas.microsoft.com/office/drawing/2014/main" id="{2149F236-71D3-E5B1-988D-4F28390F1F65}"/>
              </a:ext>
            </a:extLst>
          </xdr:cNvPr>
          <xdr:cNvSpPr>
            <a:spLocks noChangeShapeType="1"/>
          </xdr:cNvSpPr>
        </xdr:nvSpPr>
        <xdr:spPr bwMode="auto">
          <a:xfrm>
            <a:off x="471" y="3768"/>
            <a:ext cx="0" cy="2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Rectangle 197">
            <a:extLst>
              <a:ext uri="{FF2B5EF4-FFF2-40B4-BE49-F238E27FC236}">
                <a16:creationId xmlns:a16="http://schemas.microsoft.com/office/drawing/2014/main" id="{E020C989-6309-3A96-5E78-9A66EBE4C578}"/>
              </a:ext>
            </a:extLst>
          </xdr:cNvPr>
          <xdr:cNvSpPr>
            <a:spLocks noChangeArrowheads="1"/>
          </xdr:cNvSpPr>
        </xdr:nvSpPr>
        <xdr:spPr bwMode="auto">
          <a:xfrm>
            <a:off x="139" y="3680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6" name="Rectangle 198">
            <a:extLst>
              <a:ext uri="{FF2B5EF4-FFF2-40B4-BE49-F238E27FC236}">
                <a16:creationId xmlns:a16="http://schemas.microsoft.com/office/drawing/2014/main" id="{3DF36923-19ED-3EB2-58E2-071F4CA17BF8}"/>
              </a:ext>
            </a:extLst>
          </xdr:cNvPr>
          <xdr:cNvSpPr>
            <a:spLocks noChangeArrowheads="1"/>
          </xdr:cNvSpPr>
        </xdr:nvSpPr>
        <xdr:spPr bwMode="auto">
          <a:xfrm>
            <a:off x="294" y="3679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7" name="Rectangle 199">
            <a:extLst>
              <a:ext uri="{FF2B5EF4-FFF2-40B4-BE49-F238E27FC236}">
                <a16:creationId xmlns:a16="http://schemas.microsoft.com/office/drawing/2014/main" id="{4A3E7B96-6B16-1705-2431-C4A601819CE6}"/>
              </a:ext>
            </a:extLst>
          </xdr:cNvPr>
          <xdr:cNvSpPr>
            <a:spLocks noChangeArrowheads="1"/>
          </xdr:cNvSpPr>
        </xdr:nvSpPr>
        <xdr:spPr bwMode="auto">
          <a:xfrm>
            <a:off x="292" y="3845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8" name="Rectangle 200">
            <a:extLst>
              <a:ext uri="{FF2B5EF4-FFF2-40B4-BE49-F238E27FC236}">
                <a16:creationId xmlns:a16="http://schemas.microsoft.com/office/drawing/2014/main" id="{B6B14C69-8009-60FD-27A3-A09032513919}"/>
              </a:ext>
            </a:extLst>
          </xdr:cNvPr>
          <xdr:cNvSpPr>
            <a:spLocks noChangeArrowheads="1"/>
          </xdr:cNvSpPr>
        </xdr:nvSpPr>
        <xdr:spPr bwMode="auto">
          <a:xfrm>
            <a:off x="139" y="3844"/>
            <a:ext cx="38" cy="3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12</xdr:col>
      <xdr:colOff>190500</xdr:colOff>
      <xdr:row>56</xdr:row>
      <xdr:rowOff>38100</xdr:rowOff>
    </xdr:from>
    <xdr:to>
      <xdr:col>14</xdr:col>
      <xdr:colOff>715852</xdr:colOff>
      <xdr:row>57</xdr:row>
      <xdr:rowOff>57149</xdr:rowOff>
    </xdr:to>
    <xdr:sp macro="" textlink="">
      <xdr:nvSpPr>
        <xdr:cNvPr id="102" name="AutoShape 46">
          <a:extLst>
            <a:ext uri="{FF2B5EF4-FFF2-40B4-BE49-F238E27FC236}">
              <a16:creationId xmlns:a16="http://schemas.microsoft.com/office/drawing/2014/main" id="{13119A6F-486D-4E6B-826D-8D8630D072C4}"/>
            </a:ext>
          </a:extLst>
        </xdr:cNvPr>
        <xdr:cNvSpPr>
          <a:spLocks noChangeAspect="1" noChangeArrowheads="1"/>
        </xdr:cNvSpPr>
      </xdr:nvSpPr>
      <xdr:spPr bwMode="auto">
        <a:xfrm>
          <a:off x="8858250" y="14001750"/>
          <a:ext cx="2611327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73</xdr:row>
      <xdr:rowOff>0</xdr:rowOff>
    </xdr:from>
    <xdr:to>
      <xdr:col>6</xdr:col>
      <xdr:colOff>60960</xdr:colOff>
      <xdr:row>73</xdr:row>
      <xdr:rowOff>0</xdr:rowOff>
    </xdr:to>
    <xdr:sp macro="" textlink="">
      <xdr:nvSpPr>
        <xdr:cNvPr id="105" name="Line 234">
          <a:extLst>
            <a:ext uri="{FF2B5EF4-FFF2-40B4-BE49-F238E27FC236}">
              <a16:creationId xmlns:a16="http://schemas.microsoft.com/office/drawing/2014/main" id="{85B68FF9-1434-44B4-9413-51E55390F6E9}"/>
            </a:ext>
          </a:extLst>
        </xdr:cNvPr>
        <xdr:cNvSpPr>
          <a:spLocks noChangeShapeType="1"/>
        </xdr:cNvSpPr>
      </xdr:nvSpPr>
      <xdr:spPr bwMode="auto">
        <a:xfrm>
          <a:off x="4514850" y="18478500"/>
          <a:ext cx="6413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323753</xdr:colOff>
      <xdr:row>4</xdr:row>
      <xdr:rowOff>0</xdr:rowOff>
    </xdr:from>
    <xdr:to>
      <xdr:col>6</xdr:col>
      <xdr:colOff>751355</xdr:colOff>
      <xdr:row>27</xdr:row>
      <xdr:rowOff>301</xdr:rowOff>
    </xdr:to>
    <xdr:grpSp>
      <xdr:nvGrpSpPr>
        <xdr:cNvPr id="113" name="Nhóm 1055696">
          <a:extLst>
            <a:ext uri="{FF2B5EF4-FFF2-40B4-BE49-F238E27FC236}">
              <a16:creationId xmlns:a16="http://schemas.microsoft.com/office/drawing/2014/main" id="{267E64C0-9ECB-4DBD-BED0-F1CB2A3F5E94}"/>
            </a:ext>
          </a:extLst>
        </xdr:cNvPr>
        <xdr:cNvGrpSpPr/>
      </xdr:nvGrpSpPr>
      <xdr:grpSpPr>
        <a:xfrm>
          <a:off x="1092103" y="990600"/>
          <a:ext cx="4167752" cy="5816901"/>
          <a:chOff x="782669" y="892630"/>
          <a:chExt cx="4684527" cy="5551021"/>
        </a:xfrm>
      </xdr:grpSpPr>
      <xdr:cxnSp macro="">
        <xdr:nvCxnSpPr>
          <xdr:cNvPr id="114" name="Straight Connector 111">
            <a:extLst>
              <a:ext uri="{FF2B5EF4-FFF2-40B4-BE49-F238E27FC236}">
                <a16:creationId xmlns:a16="http://schemas.microsoft.com/office/drawing/2014/main" id="{0EE587C7-E777-C75C-C1BA-5D5618FD01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355512" y="2505704"/>
            <a:ext cx="60511" cy="1334"/>
          </a:xfrm>
          <a:prstGeom prst="line">
            <a:avLst/>
          </a:prstGeom>
          <a:noFill/>
          <a:ln w="158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15" name="Straight Connector 111">
            <a:extLst>
              <a:ext uri="{FF2B5EF4-FFF2-40B4-BE49-F238E27FC236}">
                <a16:creationId xmlns:a16="http://schemas.microsoft.com/office/drawing/2014/main" id="{368E0332-7FB8-CC74-A37E-BD1FB0E0D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394821" y="2531637"/>
            <a:ext cx="60511" cy="1334"/>
          </a:xfrm>
          <a:prstGeom prst="line">
            <a:avLst/>
          </a:prstGeom>
          <a:noFill/>
          <a:ln w="158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16" name="Nhóm 1055695">
            <a:extLst>
              <a:ext uri="{FF2B5EF4-FFF2-40B4-BE49-F238E27FC236}">
                <a16:creationId xmlns:a16="http://schemas.microsoft.com/office/drawing/2014/main" id="{0F492AA1-EAAF-D454-2FA4-232275B3B966}"/>
              </a:ext>
            </a:extLst>
          </xdr:cNvPr>
          <xdr:cNvGrpSpPr/>
        </xdr:nvGrpSpPr>
        <xdr:grpSpPr>
          <a:xfrm>
            <a:off x="782669" y="892630"/>
            <a:ext cx="4684527" cy="5551021"/>
            <a:chOff x="831955" y="1021762"/>
            <a:chExt cx="4685028" cy="5556466"/>
          </a:xfrm>
        </xdr:grpSpPr>
        <xdr:sp macro="" textlink="">
          <xdr:nvSpPr>
            <xdr:cNvPr id="117" name="TextBox 29">
              <a:extLst>
                <a:ext uri="{FF2B5EF4-FFF2-40B4-BE49-F238E27FC236}">
                  <a16:creationId xmlns:a16="http://schemas.microsoft.com/office/drawing/2014/main" id="{FA872C33-85DB-DEF1-E240-CD56B3CA03E7}"/>
                </a:ext>
              </a:extLst>
            </xdr:cNvPr>
            <xdr:cNvSpPr txBox="1"/>
          </xdr:nvSpPr>
          <xdr:spPr bwMode="auto">
            <a:xfrm rot="16200000">
              <a:off x="800128" y="1601535"/>
              <a:ext cx="345911" cy="2796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/>
                <a:t>H</a:t>
              </a:r>
              <a:r>
                <a:rPr lang="en-US" sz="1200" baseline="-25000"/>
                <a:t>2</a:t>
              </a:r>
            </a:p>
          </xdr:txBody>
        </xdr:sp>
        <xdr:grpSp>
          <xdr:nvGrpSpPr>
            <xdr:cNvPr id="118" name="Nhóm 1055694">
              <a:extLst>
                <a:ext uri="{FF2B5EF4-FFF2-40B4-BE49-F238E27FC236}">
                  <a16:creationId xmlns:a16="http://schemas.microsoft.com/office/drawing/2014/main" id="{636AFF58-6886-907E-AC09-545CA394E052}"/>
                </a:ext>
              </a:extLst>
            </xdr:cNvPr>
            <xdr:cNvGrpSpPr/>
          </xdr:nvGrpSpPr>
          <xdr:grpSpPr>
            <a:xfrm>
              <a:off x="831955" y="1021762"/>
              <a:ext cx="4685028" cy="5556466"/>
              <a:chOff x="831955" y="1021762"/>
              <a:chExt cx="4685028" cy="5556466"/>
            </a:xfrm>
          </xdr:grpSpPr>
          <xdr:cxnSp macro="">
            <xdr:nvCxnSpPr>
              <xdr:cNvPr id="119" name="Straight Arrow Connector 79">
                <a:extLst>
                  <a:ext uri="{FF2B5EF4-FFF2-40B4-BE49-F238E27FC236}">
                    <a16:creationId xmlns:a16="http://schemas.microsoft.com/office/drawing/2014/main" id="{64F86A6E-A072-EAD0-C26F-C0598EDC893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5153873" y="2853783"/>
                <a:ext cx="0" cy="253165"/>
              </a:xfrm>
              <a:prstGeom prst="straightConnector1">
                <a:avLst/>
              </a:prstGeom>
              <a:noFill/>
              <a:ln w="6350" algn="ctr">
                <a:solidFill>
                  <a:srgbClr val="000000"/>
                </a:solidFill>
                <a:round/>
                <a:headEnd type="triangle" w="med" len="med"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grpSp>
            <xdr:nvGrpSpPr>
              <xdr:cNvPr id="120" name="Nhóm 1055693">
                <a:extLst>
                  <a:ext uri="{FF2B5EF4-FFF2-40B4-BE49-F238E27FC236}">
                    <a16:creationId xmlns:a16="http://schemas.microsoft.com/office/drawing/2014/main" id="{3DBA893D-3B17-A5D0-66F6-B482639275FE}"/>
                  </a:ext>
                </a:extLst>
              </xdr:cNvPr>
              <xdr:cNvGrpSpPr/>
            </xdr:nvGrpSpPr>
            <xdr:grpSpPr>
              <a:xfrm>
                <a:off x="831955" y="1021762"/>
                <a:ext cx="4685028" cy="5556466"/>
                <a:chOff x="831884" y="1017633"/>
                <a:chExt cx="4683051" cy="5534792"/>
              </a:xfrm>
            </xdr:grpSpPr>
            <xdr:grpSp>
              <xdr:nvGrpSpPr>
                <xdr:cNvPr id="121" name="Nhóm 1055692">
                  <a:extLst>
                    <a:ext uri="{FF2B5EF4-FFF2-40B4-BE49-F238E27FC236}">
                      <a16:creationId xmlns:a16="http://schemas.microsoft.com/office/drawing/2014/main" id="{2CEF5A7D-6013-BEE3-64A5-4B32E7E2AD6C}"/>
                    </a:ext>
                  </a:extLst>
                </xdr:cNvPr>
                <xdr:cNvGrpSpPr/>
              </xdr:nvGrpSpPr>
              <xdr:grpSpPr>
                <a:xfrm>
                  <a:off x="4921555" y="2778218"/>
                  <a:ext cx="593380" cy="344879"/>
                  <a:chOff x="4921555" y="2778218"/>
                  <a:chExt cx="593380" cy="344879"/>
                </a:xfrm>
              </xdr:grpSpPr>
              <xdr:cxnSp macro="">
                <xdr:nvCxnSpPr>
                  <xdr:cNvPr id="556111" name="Straight Connector 65">
                    <a:extLst>
                      <a:ext uri="{FF2B5EF4-FFF2-40B4-BE49-F238E27FC236}">
                        <a16:creationId xmlns:a16="http://schemas.microsoft.com/office/drawing/2014/main" id="{1401B306-7982-727F-8C10-97D8623463FE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949135" y="2834377"/>
                    <a:ext cx="258509" cy="14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556112" name="Straight Connector 65">
                    <a:extLst>
                      <a:ext uri="{FF2B5EF4-FFF2-40B4-BE49-F238E27FC236}">
                        <a16:creationId xmlns:a16="http://schemas.microsoft.com/office/drawing/2014/main" id="{BAB1FB19-7055-C651-B34C-194B46187DE2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940595" y="3081254"/>
                    <a:ext cx="258509" cy="14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sp macro="" textlink="">
                <xdr:nvSpPr>
                  <xdr:cNvPr id="556113" name="TextBox 29">
                    <a:extLst>
                      <a:ext uri="{FF2B5EF4-FFF2-40B4-BE49-F238E27FC236}">
                        <a16:creationId xmlns:a16="http://schemas.microsoft.com/office/drawing/2014/main" id="{C9FF4EF0-2FCD-64AF-60DA-03EF521F6EED}"/>
                      </a:ext>
                    </a:extLst>
                  </xdr:cNvPr>
                  <xdr:cNvSpPr txBox="1"/>
                </xdr:nvSpPr>
                <xdr:spPr bwMode="auto">
                  <a:xfrm rot="16200000">
                    <a:off x="5190910" y="2799072"/>
                    <a:ext cx="344879" cy="303171"/>
                  </a:xfrm>
                  <a:prstGeom prst="rect">
                    <a:avLst/>
                  </a:prstGeom>
                  <a:noFill/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tx1"/>
                  </a:fontRef>
                </xdr:style>
                <xdr:txBody>
                  <a:bodyPr vertOverflow="clip" horzOverflow="clip" wrap="square" rtlCol="0" anchor="t">
                    <a:noAutofit/>
                  </a:bodyPr>
                  <a:lstStyle/>
                  <a:p>
                    <a:r>
                      <a:rPr lang="en-US" sz="1200"/>
                      <a:t>h</a:t>
                    </a:r>
                    <a:r>
                      <a:rPr lang="en-US" sz="1200" baseline="-25000"/>
                      <a:t>v</a:t>
                    </a:r>
                  </a:p>
                </xdr:txBody>
              </xdr:sp>
              <xdr:cxnSp macro="">
                <xdr:nvCxnSpPr>
                  <xdr:cNvPr id="556114" name="Straight Connector 114">
                    <a:extLst>
                      <a:ext uri="{FF2B5EF4-FFF2-40B4-BE49-F238E27FC236}">
                        <a16:creationId xmlns:a16="http://schemas.microsoft.com/office/drawing/2014/main" id="{BCF7D2A1-B7E0-CC86-FA50-758B7CA28184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 flipH="1">
                    <a:off x="4921555" y="2845068"/>
                    <a:ext cx="3558" cy="238562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</xdr:grpSp>
            <xdr:grpSp>
              <xdr:nvGrpSpPr>
                <xdr:cNvPr id="122" name="Nhóm 1055691">
                  <a:extLst>
                    <a:ext uri="{FF2B5EF4-FFF2-40B4-BE49-F238E27FC236}">
                      <a16:creationId xmlns:a16="http://schemas.microsoft.com/office/drawing/2014/main" id="{D85CB93D-EFFE-E8F9-C9EB-D151DD129B2F}"/>
                    </a:ext>
                  </a:extLst>
                </xdr:cNvPr>
                <xdr:cNvGrpSpPr/>
              </xdr:nvGrpSpPr>
              <xdr:grpSpPr>
                <a:xfrm>
                  <a:off x="831884" y="1017633"/>
                  <a:ext cx="4591765" cy="5534792"/>
                  <a:chOff x="831884" y="1017633"/>
                  <a:chExt cx="4591765" cy="5534792"/>
                </a:xfrm>
              </xdr:grpSpPr>
              <xdr:cxnSp macro="">
                <xdr:nvCxnSpPr>
                  <xdr:cNvPr id="123" name="Straight Connector 129">
                    <a:extLst>
                      <a:ext uri="{FF2B5EF4-FFF2-40B4-BE49-F238E27FC236}">
                        <a16:creationId xmlns:a16="http://schemas.microsoft.com/office/drawing/2014/main" id="{930E6AF0-2131-FA0D-744C-C9B6137978DD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442755" y="1603302"/>
                    <a:ext cx="7716" cy="1053109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24" name="Straight Connector 110">
                    <a:extLst>
                      <a:ext uri="{FF2B5EF4-FFF2-40B4-BE49-F238E27FC236}">
                        <a16:creationId xmlns:a16="http://schemas.microsoft.com/office/drawing/2014/main" id="{2503B42E-99A9-490C-E841-EFDBB7E46E9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036885" y="1599289"/>
                    <a:ext cx="889" cy="1046270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25" name="Straight Connector 111">
                    <a:extLst>
                      <a:ext uri="{FF2B5EF4-FFF2-40B4-BE49-F238E27FC236}">
                        <a16:creationId xmlns:a16="http://schemas.microsoft.com/office/drawing/2014/main" id="{3606DC02-D09F-56D9-36F2-4E4AACDC9B60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042359" y="1609110"/>
                    <a:ext cx="392338" cy="2054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cxnSp macro="">
                <xdr:nvCxnSpPr>
                  <xdr:cNvPr id="126" name="Straight Connector 114">
                    <a:extLst>
                      <a:ext uri="{FF2B5EF4-FFF2-40B4-BE49-F238E27FC236}">
                        <a16:creationId xmlns:a16="http://schemas.microsoft.com/office/drawing/2014/main" id="{0E4FBE00-CF7B-2530-505B-90C999CEA2A6}"/>
                      </a:ext>
                    </a:extLst>
                  </xdr:cNvPr>
                  <xdr:cNvCxnSpPr>
                    <a:cxnSpLocks noChangeShapeType="1"/>
                  </xdr:cNvCxnSpPr>
                </xdr:nvCxnSpPr>
                <xdr:spPr bwMode="auto">
                  <a:xfrm>
                    <a:off x="4499572" y="2649098"/>
                    <a:ext cx="427463" cy="201022"/>
                  </a:xfrm>
                  <a:prstGeom prst="line">
                    <a:avLst/>
                  </a:prstGeom>
                  <a:noFill/>
                  <a:ln w="15875" algn="ctr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cxnSp>
              <xdr:grpSp>
                <xdr:nvGrpSpPr>
                  <xdr:cNvPr id="127" name="Nhóm 1055690">
                    <a:extLst>
                      <a:ext uri="{FF2B5EF4-FFF2-40B4-BE49-F238E27FC236}">
                        <a16:creationId xmlns:a16="http://schemas.microsoft.com/office/drawing/2014/main" id="{EC626447-95C6-6879-C76B-BA66C7C9A488}"/>
                      </a:ext>
                    </a:extLst>
                  </xdr:cNvPr>
                  <xdr:cNvGrpSpPr/>
                </xdr:nvGrpSpPr>
                <xdr:grpSpPr>
                  <a:xfrm>
                    <a:off x="831884" y="1017633"/>
                    <a:ext cx="4591765" cy="5534792"/>
                    <a:chOff x="831884" y="1017633"/>
                    <a:chExt cx="4591765" cy="5534792"/>
                  </a:xfrm>
                </xdr:grpSpPr>
                <xdr:sp macro="" textlink="">
                  <xdr:nvSpPr>
                    <xdr:cNvPr id="556032" name="Lưu đồ: Hoặc 148">
                      <a:extLst>
                        <a:ext uri="{FF2B5EF4-FFF2-40B4-BE49-F238E27FC236}">
                          <a16:creationId xmlns:a16="http://schemas.microsoft.com/office/drawing/2014/main" id="{E1B9A597-B664-F5B9-837F-043313475F5D}"/>
                        </a:ext>
                      </a:extLst>
                    </xdr:cNvPr>
                    <xdr:cNvSpPr/>
                  </xdr:nvSpPr>
                  <xdr:spPr bwMode="auto">
                    <a:xfrm>
                      <a:off x="3330378" y="5085511"/>
                      <a:ext cx="148477" cy="123825"/>
                    </a:xfrm>
                    <a:prstGeom prst="flowChartOr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</xdr:spPr>
                  <xdr:txBody>
                    <a:bodyPr vertOverflow="clip" wrap="square" lIns="18288" tIns="0" rIns="0" bIns="0" rtlCol="0" anchor="ctr" upright="1"/>
                    <a:lstStyle/>
                    <a:p>
                      <a:pPr algn="l"/>
                      <a:endParaRPr lang="en-US" sz="1100"/>
                    </a:p>
                  </xdr:txBody>
                </xdr:sp>
                <xdr:grpSp>
                  <xdr:nvGrpSpPr>
                    <xdr:cNvPr id="556035" name="Nhóm 1055689">
                      <a:extLst>
                        <a:ext uri="{FF2B5EF4-FFF2-40B4-BE49-F238E27FC236}">
                          <a16:creationId xmlns:a16="http://schemas.microsoft.com/office/drawing/2014/main" id="{6CD8EC9D-1F52-6E41-E184-313FBBA28CFD}"/>
                        </a:ext>
                      </a:extLst>
                    </xdr:cNvPr>
                    <xdr:cNvGrpSpPr/>
                  </xdr:nvGrpSpPr>
                  <xdr:grpSpPr>
                    <a:xfrm>
                      <a:off x="831884" y="1017633"/>
                      <a:ext cx="4591765" cy="5534792"/>
                      <a:chOff x="831884" y="1017633"/>
                      <a:chExt cx="4591765" cy="5534792"/>
                    </a:xfrm>
                  </xdr:grpSpPr>
                  <xdr:grpSp>
                    <xdr:nvGrpSpPr>
                      <xdr:cNvPr id="556036" name="Nhóm 172">
                        <a:extLst>
                          <a:ext uri="{FF2B5EF4-FFF2-40B4-BE49-F238E27FC236}">
                            <a16:creationId xmlns:a16="http://schemas.microsoft.com/office/drawing/2014/main" id="{584AA590-D303-A9DC-0D31-8D456258B81C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489982" y="6101777"/>
                        <a:ext cx="1715200" cy="344232"/>
                        <a:chOff x="5078016" y="1518047"/>
                        <a:chExt cx="1579434" cy="345107"/>
                      </a:xfrm>
                    </xdr:grpSpPr>
                    <xdr:sp macro="" textlink="">
                      <xdr:nvSpPr>
                        <xdr:cNvPr id="556109" name="TextBox 117">
                          <a:extLst>
                            <a:ext uri="{FF2B5EF4-FFF2-40B4-BE49-F238E27FC236}">
                              <a16:creationId xmlns:a16="http://schemas.microsoft.com/office/drawing/2014/main" id="{AEC95D78-F934-0757-3848-5BC64BB11F91}"/>
                            </a:ext>
                          </a:extLst>
                        </xdr:cNvPr>
                        <xdr:cNvSpPr txBox="1"/>
                      </xdr:nvSpPr>
                      <xdr:spPr bwMode="auto">
                        <a:xfrm>
                          <a:off x="5696978" y="1518047"/>
                          <a:ext cx="435038" cy="345107"/>
                        </a:xfrm>
                        <a:prstGeom prst="rect">
                          <a:avLst/>
                        </a:prstGeom>
                        <a:noFill/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tx1"/>
                        </a:fontRef>
                      </xdr:style>
                      <xdr:txBody>
                        <a:bodyPr vertOverflow="clip" horzOverflow="clip" wrap="square" rtlCol="0" anchor="t">
                          <a:noAutofit/>
                        </a:bodyPr>
                        <a:lstStyle/>
                        <a:p>
                          <a:pPr marL="0" marR="0" lvl="0" indent="0" defTabSz="91440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/>
                          </a:pPr>
                          <a:r>
                            <a:rPr lang="en-US" sz="1200">
                              <a:latin typeface="Calibri (Body)"/>
                              <a:cs typeface="Times New Roman" panose="02020603050405020304" pitchFamily="18" charset="0"/>
                            </a:rPr>
                            <a:t>L</a:t>
                          </a:r>
                          <a:r>
                            <a:rPr lang="en-US" sz="1200" baseline="-25000">
                              <a:latin typeface="Calibri (Body)"/>
                            </a:rPr>
                            <a:t>1 </a:t>
                          </a:r>
                          <a:endParaRPr lang="en-US" sz="1200">
                            <a:effectLst/>
                          </a:endParaRPr>
                        </a:p>
                      </xdr:txBody>
                    </xdr:sp>
                    <xdr:cxnSp macro="">
                      <xdr:nvCxnSpPr>
                        <xdr:cNvPr id="556110" name="Straight Arrow Connector 70">
                          <a:extLst>
                            <a:ext uri="{FF2B5EF4-FFF2-40B4-BE49-F238E27FC236}">
                              <a16:creationId xmlns:a16="http://schemas.microsoft.com/office/drawing/2014/main" id="{EB5FBE7D-FFCB-B5E3-EBB8-1C2BBD7F699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V="1">
                          <a:off x="5078016" y="1766784"/>
                          <a:ext cx="1579434" cy="3649"/>
                        </a:xfrm>
                        <a:prstGeom prst="straightConnector1">
                          <a:avLst/>
                        </a:prstGeom>
                        <a:noFill/>
                        <a:ln w="6350" algn="ctr">
                          <a:solidFill>
                            <a:srgbClr val="000000"/>
                          </a:solidFill>
                          <a:round/>
                          <a:headEnd type="triangle" w="med" len="med"/>
                          <a:tailEnd type="triangle" w="med" len="med"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556037" name="Nhóm 1055688">
                        <a:extLst>
                          <a:ext uri="{FF2B5EF4-FFF2-40B4-BE49-F238E27FC236}">
                            <a16:creationId xmlns:a16="http://schemas.microsoft.com/office/drawing/2014/main" id="{B44DA458-4E66-3608-0978-1EF6CE44EA01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831884" y="1017633"/>
                        <a:ext cx="4591765" cy="5534792"/>
                        <a:chOff x="831884" y="1017633"/>
                        <a:chExt cx="4591765" cy="5534792"/>
                      </a:xfrm>
                    </xdr:grpSpPr>
                    <xdr:cxnSp macro="">
                      <xdr:nvCxnSpPr>
                        <xdr:cNvPr id="556038" name="Straight Connector 178">
                          <a:extLst>
                            <a:ext uri="{FF2B5EF4-FFF2-40B4-BE49-F238E27FC236}">
                              <a16:creationId xmlns:a16="http://schemas.microsoft.com/office/drawing/2014/main" id="{6EB95A4B-595D-0002-7471-2C46B6927F30}"/>
                            </a:ext>
                          </a:extLst>
                        </xdr:cNvPr>
                        <xdr:cNvCxnSpPr/>
                      </xdr:nvCxnSpPr>
                      <xdr:spPr bwMode="auto">
                        <a:xfrm>
                          <a:off x="2476500" y="3725956"/>
                          <a:ext cx="22412" cy="2762250"/>
                        </a:xfrm>
                        <a:prstGeom prst="line">
                          <a:avLst/>
                        </a:prstGeom>
                        <a:ln w="6350">
                          <a:prstDash val="lgDashDot"/>
                          <a:headEnd type="none" w="med" len="med"/>
                          <a:tailEnd type="none" w="med" len="med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cxnSp macro="">
                      <xdr:nvCxnSpPr>
                        <xdr:cNvPr id="556039" name="Straight Connector 178">
                          <a:extLst>
                            <a:ext uri="{FF2B5EF4-FFF2-40B4-BE49-F238E27FC236}">
                              <a16:creationId xmlns:a16="http://schemas.microsoft.com/office/drawing/2014/main" id="{2267B561-03A8-CB37-EC0B-5C7FD0524F02}"/>
                            </a:ext>
                          </a:extLst>
                        </xdr:cNvPr>
                        <xdr:cNvCxnSpPr/>
                      </xdr:nvCxnSpPr>
                      <xdr:spPr bwMode="auto">
                        <a:xfrm>
                          <a:off x="4186518" y="3721474"/>
                          <a:ext cx="22412" cy="2762250"/>
                        </a:xfrm>
                        <a:prstGeom prst="line">
                          <a:avLst/>
                        </a:prstGeom>
                        <a:ln w="6350">
                          <a:prstDash val="lgDashDot"/>
                          <a:headEnd type="none" w="med" len="med"/>
                          <a:tailEnd type="none" w="med" len="med"/>
                        </a:ln>
                      </xdr:spPr>
                      <xdr:style>
                        <a:lnRef idx="1">
                          <a:schemeClr val="dk1"/>
                        </a:lnRef>
                        <a:fillRef idx="0">
                          <a:schemeClr val="dk1"/>
                        </a:fillRef>
                        <a:effectRef idx="0">
                          <a:schemeClr val="dk1"/>
                        </a:effectRef>
                        <a:fontRef idx="minor">
                          <a:schemeClr val="tx1"/>
                        </a:fontRef>
                      </xdr:style>
                    </xdr:cxnSp>
                    <xdr:grpSp>
                      <xdr:nvGrpSpPr>
                        <xdr:cNvPr id="556040" name="Nhóm 1055687">
                          <a:extLst>
                            <a:ext uri="{FF2B5EF4-FFF2-40B4-BE49-F238E27FC236}">
                              <a16:creationId xmlns:a16="http://schemas.microsoft.com/office/drawing/2014/main" id="{22769A3F-5FE0-F8F6-F9C0-12987C5366A4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831884" y="1017633"/>
                          <a:ext cx="4591765" cy="5534792"/>
                          <a:chOff x="831884" y="1017633"/>
                          <a:chExt cx="4591765" cy="5534792"/>
                        </a:xfrm>
                      </xdr:grpSpPr>
                      <xdr:sp macro="" textlink="">
                        <xdr:nvSpPr>
                          <xdr:cNvPr id="556041" name="Rectangle 8567830">
                            <a:extLst>
                              <a:ext uri="{FF2B5EF4-FFF2-40B4-BE49-F238E27FC236}">
                                <a16:creationId xmlns:a16="http://schemas.microsoft.com/office/drawing/2014/main" id="{6E2FE76D-37C8-49B9-2315-DD6C64995424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2277989" y="5597481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556042" name="Rectangle 8567830">
                            <a:extLst>
                              <a:ext uri="{FF2B5EF4-FFF2-40B4-BE49-F238E27FC236}">
                                <a16:creationId xmlns:a16="http://schemas.microsoft.com/office/drawing/2014/main" id="{013512F5-9297-8C8A-A4BA-07958C089576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3959993" y="5609807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556043" name="Rectangle 8567830">
                            <a:extLst>
                              <a:ext uri="{FF2B5EF4-FFF2-40B4-BE49-F238E27FC236}">
                                <a16:creationId xmlns:a16="http://schemas.microsoft.com/office/drawing/2014/main" id="{8EA94B5D-ABB8-91A5-D97E-6A623BFD73EF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3966716" y="4271825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chemeClr val="bg1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sp macro="" textlink="">
                        <xdr:nvSpPr>
                          <xdr:cNvPr id="556044" name="Rectangle 8567830">
                            <a:extLst>
                              <a:ext uri="{FF2B5EF4-FFF2-40B4-BE49-F238E27FC236}">
                                <a16:creationId xmlns:a16="http://schemas.microsoft.com/office/drawing/2014/main" id="{D4F934C1-0CF6-C307-FF2C-AA2122DBC863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>
                            <a:off x="2281351" y="4272946"/>
                            <a:ext cx="431003" cy="393696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19050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wrap="square" lIns="18288" tIns="0" rIns="0" bIns="0" rtlCol="0" anchor="ctr" upright="1"/>
                          <a:lstStyle/>
                          <a:p>
                            <a:pPr algn="l"/>
                            <a:endParaRPr lang="en-US" sz="1100"/>
                          </a:p>
                        </xdr:txBody>
                      </xdr:sp>
                      <xdr:grpSp>
                        <xdr:nvGrpSpPr>
                          <xdr:cNvPr id="556045" name="Nhóm 1055686">
                            <a:extLst>
                              <a:ext uri="{FF2B5EF4-FFF2-40B4-BE49-F238E27FC236}">
                                <a16:creationId xmlns:a16="http://schemas.microsoft.com/office/drawing/2014/main" id="{E3B6C959-CB96-AB4D-8E23-A0842B893B0D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831884" y="1017633"/>
                            <a:ext cx="4591765" cy="5534792"/>
                            <a:chOff x="831884" y="1017633"/>
                            <a:chExt cx="4591765" cy="5534792"/>
                          </a:xfrm>
                        </xdr:grpSpPr>
                        <xdr:cxnSp macro="">
                          <xdr:nvCxnSpPr>
                            <xdr:cNvPr id="556046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20A0C939-BA04-69C6-8225-C3AF419946D3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1819222" y="3722364"/>
                              <a:ext cx="427556" cy="502253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cxnSp macro="">
                          <xdr:nvCxnSpPr>
                            <xdr:cNvPr id="556047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EEF0C7A9-CEE7-E5E5-6E68-ACFCDE6D1DF1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4457137" y="6050100"/>
                              <a:ext cx="437463" cy="498660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cxnSp macro="">
                          <xdr:nvCxnSpPr>
                            <xdr:cNvPr id="556048" name="Straight Connector 111">
                              <a:extLst>
                                <a:ext uri="{FF2B5EF4-FFF2-40B4-BE49-F238E27FC236}">
                                  <a16:creationId xmlns:a16="http://schemas.microsoft.com/office/drawing/2014/main" id="{693CDB41-C517-DC8D-E6C5-B5BA0481F806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1808016" y="6026179"/>
                              <a:ext cx="434452" cy="512682"/>
                            </a:xfrm>
                            <a:prstGeom prst="line">
                              <a:avLst/>
                            </a:prstGeom>
                            <a:noFill/>
                            <a:ln w="158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xtLst>
                              <a:ext uri="{909E8E84-426E-40DD-AFC4-6F175D3DCCD1}">
                                <a14:hiddenFill xmlns:a14="http://schemas.microsoft.com/office/drawing/2010/main">
                                  <a:noFill/>
                                </a14:hiddenFill>
                              </a:ext>
                            </a:extLst>
                          </xdr:spPr>
                        </xdr:cxnSp>
                        <xdr:grpSp>
                          <xdr:nvGrpSpPr>
                            <xdr:cNvPr id="556049" name="Nhóm 179">
                              <a:extLst>
                                <a:ext uri="{FF2B5EF4-FFF2-40B4-BE49-F238E27FC236}">
                                  <a16:creationId xmlns:a16="http://schemas.microsoft.com/office/drawing/2014/main" id="{1E2DB565-8E36-FE1D-B101-68C5A4C6D802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831884" y="1017633"/>
                              <a:ext cx="4591765" cy="5534792"/>
                              <a:chOff x="831884" y="1017633"/>
                              <a:chExt cx="4591765" cy="5534792"/>
                            </a:xfrm>
                          </xdr:grpSpPr>
                          <xdr:cxnSp macro="">
                            <xdr:nvCxnSpPr>
                              <xdr:cNvPr id="556050" name="Straight Connector 111">
                                <a:extLst>
                                  <a:ext uri="{FF2B5EF4-FFF2-40B4-BE49-F238E27FC236}">
                                    <a16:creationId xmlns:a16="http://schemas.microsoft.com/office/drawing/2014/main" id="{52CE8E9F-EED6-F30F-9CA8-E0B8EA92D1D6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59335" y="3727680"/>
                                <a:ext cx="416947" cy="482759"/>
                              </a:xfrm>
                              <a:prstGeom prst="line">
                                <a:avLst/>
                              </a:prstGeom>
                              <a:noFill/>
                              <a:ln w="1587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cxnSp>
                          <xdr:grpSp>
                            <xdr:nvGrpSpPr>
                              <xdr:cNvPr id="556051" name="Nhóm 178">
                                <a:extLst>
                                  <a:ext uri="{FF2B5EF4-FFF2-40B4-BE49-F238E27FC236}">
                                    <a16:creationId xmlns:a16="http://schemas.microsoft.com/office/drawing/2014/main" id="{D697B003-AFC0-FCB5-7944-52DBFE588F2E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831884" y="1017633"/>
                                <a:ext cx="4591765" cy="5534792"/>
                                <a:chOff x="831904" y="1018754"/>
                                <a:chExt cx="4592305" cy="5540675"/>
                              </a:xfrm>
                            </xdr:grpSpPr>
                            <xdr:grpSp>
                              <xdr:nvGrpSpPr>
                                <xdr:cNvPr id="556052" name="Nhóm 151">
                                  <a:extLst>
                                    <a:ext uri="{FF2B5EF4-FFF2-40B4-BE49-F238E27FC236}">
                                      <a16:creationId xmlns:a16="http://schemas.microsoft.com/office/drawing/2014/main" id="{3F4F75EA-6455-2E09-8C17-3996590F1AA6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831904" y="1018754"/>
                                  <a:ext cx="4592305" cy="2453098"/>
                                  <a:chOff x="831904" y="1019283"/>
                                  <a:chExt cx="4592305" cy="2452602"/>
                                </a:xfrm>
                              </xdr:grpSpPr>
                              <xdr:grpSp>
                                <xdr:nvGrpSpPr>
                                  <xdr:cNvPr id="556069" name="Nhóm 149">
                                    <a:extLst>
                                      <a:ext uri="{FF2B5EF4-FFF2-40B4-BE49-F238E27FC236}">
                                        <a16:creationId xmlns:a16="http://schemas.microsoft.com/office/drawing/2014/main" id="{DF0911B1-37B8-5875-8BC1-AA04DF69737C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831904" y="1569148"/>
                                    <a:ext cx="4592305" cy="1902737"/>
                                    <a:chOff x="662794" y="1536645"/>
                                    <a:chExt cx="4761416" cy="1932657"/>
                                  </a:xfrm>
                                </xdr:grpSpPr>
                                <xdr:grpSp>
                                  <xdr:nvGrpSpPr>
                                    <xdr:cNvPr id="556075" name="Group 9">
                                      <a:extLst>
                                        <a:ext uri="{FF2B5EF4-FFF2-40B4-BE49-F238E27FC236}">
                                          <a16:creationId xmlns:a16="http://schemas.microsoft.com/office/drawing/2014/main" id="{1F3BE4AC-E348-B76E-1F29-0FF4C598523D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62794" y="1536645"/>
                                      <a:ext cx="4761416" cy="1932657"/>
                                      <a:chOff x="3289860" y="2667830"/>
                                      <a:chExt cx="3367130" cy="1430617"/>
                                    </a:xfrm>
                                  </xdr:grpSpPr>
                                  <xdr:grpSp>
                                    <xdr:nvGrpSpPr>
                                      <xdr:cNvPr id="556078" name="Group 847190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986AE19B-B8FA-A678-D714-6A2A9483EC9D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289860" y="2679849"/>
                                        <a:ext cx="3367130" cy="1418598"/>
                                        <a:chOff x="9002193" y="19969735"/>
                                        <a:chExt cx="1843836" cy="927568"/>
                                      </a:xfrm>
                                    </xdr:grpSpPr>
                                    <xdr:cxnSp macro="">
                                      <xdr:nvCxnSpPr>
                                        <xdr:cNvPr id="556083" name="Straight Connector 1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75049D34-C35C-96C4-B973-9918CE702D36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>
                                          <a:off x="9816990" y="19977562"/>
                                          <a:ext cx="3098" cy="5182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158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xtLst>
                                          <a:ext uri="{909E8E84-426E-40DD-AFC4-6F175D3DCCD1}">
                                            <a14:hiddenFill xmlns:a14="http://schemas.microsoft.com/office/drawing/2010/main">
                                              <a:noFill/>
                                            </a14:hiddenFill>
                                          </a:ext>
                                        </a:extLst>
                                      </xdr:spPr>
                                    </xdr:cxnSp>
                                    <xdr:grpSp>
                                      <xdr:nvGrpSpPr>
                                        <xdr:cNvPr id="556084" name="Group 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3BB2E506-AD87-1028-CBDA-14FEC6EF59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9002193" y="19969735"/>
                                          <a:ext cx="1843836" cy="927568"/>
                                          <a:chOff x="9967647" y="19904918"/>
                                          <a:chExt cx="1846314" cy="92802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556085" name="TextBox 20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534D5688-8C04-8685-727E-5C49F735EC04}"/>
                                              </a:ext>
                                            </a:extLst>
                                          </xdr:cNvPr>
                                          <xdr:cNvSpPr txBox="1"/>
                                        </xdr:nvSpPr>
                                        <xdr:spPr bwMode="auto">
                                          <a:xfrm rot="16200000">
                                            <a:off x="10132795" y="20463393"/>
                                            <a:ext cx="166910" cy="127258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</xdr:spPr>
                                        <xdr:style>
                                          <a:lnRef idx="0">
                                            <a:scrgbClr r="0" g="0" b="0"/>
                                          </a:lnRef>
                                          <a:fillRef idx="0">
                                            <a:scrgbClr r="0" g="0" b="0"/>
                                          </a:fillRef>
                                          <a:effectRef idx="0">
                                            <a:scrgbClr r="0" g="0" b="0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  <xdr:txBody>
                                          <a:bodyPr vertOverflow="clip" horzOverflow="clip" wrap="square" rtlCol="0" anchor="t">
                                            <a:noAutofit/>
                                          </a:bodyPr>
                                          <a:lstStyle/>
                                          <a:p>
                                            <a:r>
                                              <a:rPr lang="en-US" sz="1300"/>
                                              <a:t>h</a:t>
                                            </a:r>
                                            <a:r>
                                              <a:rPr lang="en-US" sz="1100" baseline="-25000"/>
                                              <a:t>b</a:t>
                                            </a:r>
                                            <a:endParaRPr lang="en-US" sz="1300" baseline="-25000"/>
                                          </a:p>
                                        </xdr:txBody>
                                      </xdr:sp>
                                      <xdr:cxnSp macro="">
                                        <xdr:nvCxnSpPr>
                                          <xdr:cNvPr id="556086" name="Straight Connector 6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A80C9E7C-0E58-EAB3-DAAB-192A98571275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>
                                            <a:off x="10212535" y="20412475"/>
                                            <a:ext cx="361824" cy="39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xtLst>
                                            <a:ext uri="{909E8E84-426E-40DD-AFC4-6F175D3DCCD1}">
                                              <a14:hiddenFill xmlns:a14="http://schemas.microsoft.com/office/drawing/2010/main">
                                                <a:noFill/>
                                              </a14:hiddenFill>
                                            </a:ext>
                                          </a:extLst>
                                        </xdr:spPr>
                                      </xdr:cxnSp>
                                      <xdr:cxnSp macro="">
                                        <xdr:nvCxnSpPr>
                                          <xdr:cNvPr id="556087" name="Straight Connector 2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4D543043-8C3A-9DC3-4E9F-5DD522338AD3}"/>
                                              </a:ext>
                                            </a:extLst>
                                          </xdr:cNvPr>
                                          <xdr:cNvCxnSpPr/>
                                        </xdr:nvCxnSpPr>
                                        <xdr:spPr bwMode="auto">
                                          <a:xfrm flipV="1">
                                            <a:off x="10032127" y="20629747"/>
                                            <a:ext cx="34375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ln>
                                            <a:solidFill>
                                              <a:schemeClr val="tx1"/>
                                            </a:solidFill>
                                          </a:ln>
                                        </xdr:spPr>
                                        <xdr:style>
                                          <a:lnRef idx="1">
                                            <a:schemeClr val="accent1"/>
                                          </a:lnRef>
                                          <a:fillRef idx="0">
                                            <a:schemeClr val="accent1"/>
                                          </a:fillRef>
                                          <a:effectRef idx="0">
                                            <a:schemeClr val="accent1"/>
                                          </a:effectRef>
                                          <a:fontRef idx="minor">
                                            <a:schemeClr val="tx1"/>
                                          </a:fontRef>
                                        </xdr:style>
                                      </xdr:cxnSp>
                                      <xdr:grpSp>
                                        <xdr:nvGrpSpPr>
                                          <xdr:cNvPr id="556088" name="Group 2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6601543A-BAE5-F06B-172B-116F93D52FAF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9967647" y="19904918"/>
                                            <a:ext cx="1846314" cy="928028"/>
                                            <a:chOff x="9967647" y="19904918"/>
                                            <a:chExt cx="1846314" cy="928028"/>
                                          </a:xfrm>
                                        </xdr:grpSpPr>
                                        <xdr:cxnSp macro="">
                                          <xdr:nvCxnSpPr>
                                            <xdr:cNvPr id="556089" name="Straight Connector 6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C2B380C-66A1-8B0B-98E9-C88C73CFA8FD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042970" y="20063097"/>
                                              <a:ext cx="1770991" cy="388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270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grpSp>
                                          <xdr:nvGrpSpPr>
                                            <xdr:cNvPr id="556090" name="Group 10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8CE27DE4-737B-2DB1-652E-DDD6946AB96E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389231" y="19904918"/>
                                              <a:ext cx="1221124" cy="737820"/>
                                              <a:chOff x="3550083" y="2884291"/>
                                              <a:chExt cx="502090" cy="275175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556104" name="Straight Connector 11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5EA3D94D-6EFC-4AC1-CA9C-DEF6B86D7499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3646008" y="2884291"/>
                                                <a:ext cx="147" cy="19213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5" name="Straight Connector 1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E397CA19-4C32-68FE-79C8-8D06216F70C6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3551717" y="3076356"/>
                                                <a:ext cx="86131" cy="3843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6" name="Straight Connector 11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09B5C65-584B-635E-CFC4-98D5A76DBB88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3712590" y="3080749"/>
                                                <a:ext cx="194237" cy="419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7" name="Straight Connector 1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B1C91A43-3AF2-8BAC-68ED-D56D364462B4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>
                                                <a:off x="3550707" y="3157238"/>
                                                <a:ext cx="501466" cy="222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8" name="Straight Connector 11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79FAEA7B-8C5D-D03E-C515-C313573B2FE3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H="1">
                                                <a:off x="3550083" y="3114788"/>
                                                <a:ext cx="588" cy="4381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15875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</xdr:grpSp>
                                        <xdr:grpSp>
                                          <xdr:nvGrpSpPr>
                                            <xdr:cNvPr id="556091" name="Group 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909922CE-DE9F-DA7B-3AB0-C8441804CD99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0256753" y="20065628"/>
                                              <a:ext cx="1458891" cy="80784"/>
                                              <a:chOff x="6294395" y="19655148"/>
                                              <a:chExt cx="1762943" cy="61699"/>
                                            </a:xfrm>
                                          </xdr:grpSpPr>
                                          <xdr:cxnSp macro="">
                                            <xdr:nvCxnSpPr>
                                              <xdr:cNvPr id="556098" name="Straight Connector 3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9606BC7-B9D9-F6D4-CD88-34B34C2E818D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860071" y="19655148"/>
                                                <a:ext cx="103558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099" name="Straight Connector 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4E86A068-CC62-377C-0301-AE58FD71177B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294395" y="19656600"/>
                                                <a:ext cx="93715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0" name="Straight Connector 28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A191EE99-819D-3C61-DB28-EEB223200565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388108" y="19656600"/>
                                                <a:ext cx="99492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1" name="Straight Connector 2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2E10139E-E7EE-E934-4835-7D36A7CDCBBF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6487604" y="19656600"/>
                                                <a:ext cx="101525" cy="53825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2" name="Straight Connector 3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3A84FD24-2181-E912-9501-A98DADB62783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758541" y="19660991"/>
                                                <a:ext cx="101524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  <xdr:cxnSp macro="">
                                            <xdr:nvCxnSpPr>
                                              <xdr:cNvPr id="556103" name="Straight Connector 3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4ED3E84B-6479-F8BC-5C68-91511D441366}"/>
                                                  </a:ext>
                                                </a:extLst>
                                              </xdr:cNvPr>
                                              <xdr:cNvCxnSpPr>
                                                <a:cxnSpLocks noChangeShapeType="1"/>
                                              </xdr:cNvCxnSpPr>
                                            </xdr:nvCxnSpPr>
                                            <xdr:spPr bwMode="auto">
                                              <a:xfrm flipV="1">
                                                <a:off x="7963624" y="19655148"/>
                                                <a:ext cx="93714" cy="55856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 algn="ctr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xtLst>
                                                <a:ext uri="{909E8E84-426E-40DD-AFC4-6F175D3DCCD1}">
                                                  <a14:hiddenFill xmlns:a14="http://schemas.microsoft.com/office/drawing/2010/main">
                                                    <a:noFill/>
                                                  </a14:hiddenFill>
                                                </a:ext>
                                              </a:extLst>
                                            </xdr:spPr>
                                          </xdr:cxnSp>
                                        </xdr:grpSp>
                                        <xdr:sp macro="" textlink="">
                                          <xdr:nvSpPr>
                                            <xdr:cNvPr id="556092" name="TextBox 2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EE7E8000-19F1-936B-3964-DD1407D81BB2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 bwMode="auto">
                                            <a:xfrm>
                                              <a:off x="10932618" y="20668518"/>
                                              <a:ext cx="128178" cy="134017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>
                                              <a:noAutofit/>
                                            </a:bodyPr>
                                            <a:lstStyle/>
                                            <a:p>
                                              <a:r>
                                                <a:rPr lang="en-US" sz="1200">
                                                  <a:latin typeface="Calibri (Body)"/>
                                                  <a:cs typeface="Times New Roman" panose="02020603050405020304" pitchFamily="18" charset="0"/>
                                                </a:rPr>
                                                <a:t>L</a:t>
                                              </a:r>
                                              <a:endParaRPr lang="en-US" sz="1200" baseline="-25000">
                                                <a:latin typeface="Calibri (Body)"/>
                                              </a:endParaRPr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556093" name="Straight Arrow Connector 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78AAC227-BF39-5F9A-17FB-4EDA45ACE71A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266763" y="20418776"/>
                                              <a:ext cx="1836" cy="220993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sp macro="" textlink="">
                                          <xdr:nvSpPr>
                                            <xdr:cNvPr id="556094" name="TextBox 2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AA8DDE-8C9A-796A-5CCA-420AED614252}"/>
                                                </a:ext>
                                              </a:extLst>
                                            </xdr:cNvPr>
                                            <xdr:cNvSpPr txBox="1"/>
                                          </xdr:nvSpPr>
                                          <xdr:spPr bwMode="auto">
                                            <a:xfrm rot="16200000">
                                              <a:off x="9935188" y="20234720"/>
                                              <a:ext cx="198879" cy="133962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</xdr:spPr>
                                          <xdr:style>
                                            <a:lnRef idx="0">
                                              <a:scrgbClr r="0" g="0" b="0"/>
                                            </a:lnRef>
                                            <a:fillRef idx="0">
                                              <a:scrgbClr r="0" g="0" b="0"/>
                                            </a:fillRef>
                                            <a:effectRef idx="0">
                                              <a:scrgbClr r="0" g="0" b="0"/>
                                            </a:effectRef>
                                            <a:fontRef idx="minor">
                                              <a:schemeClr val="tx1"/>
                                            </a:fontRef>
                                          </xdr:style>
                                          <xdr:txBody>
                                            <a:bodyPr vertOverflow="clip" horzOverflow="clip" wrap="square" rtlCol="0" anchor="t">
                                              <a:noAutofit/>
                                            </a:bodyPr>
                                            <a:lstStyle/>
                                            <a:p>
                                              <a:r>
                                                <a:rPr lang="en-US" sz="1200"/>
                                                <a:t>H</a:t>
                                              </a:r>
                                              <a:r>
                                                <a:rPr lang="en-US" sz="1200" baseline="-25000"/>
                                                <a:t>1</a:t>
                                              </a:r>
                                            </a:p>
                                          </xdr:txBody>
                                        </xdr:sp>
                                        <xdr:cxnSp macro="">
                                          <xdr:nvCxnSpPr>
                                            <xdr:cNvPr id="556095" name="Straight Arrow Connector 7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D2DA011C-9254-E583-866C-E65D920062AD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103959" y="20071035"/>
                                              <a:ext cx="2511" cy="558141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556096" name="Straight Arrow Connector 7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3FC3E61C-063D-6B12-1D7C-C26B7F07C564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>
                                              <a:off x="10398653" y="20802134"/>
                                              <a:ext cx="1201509" cy="8043"/>
                                            </a:xfrm>
                                            <a:prstGeom prst="straightConnector1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 type="triangle" w="med" len="med"/>
                                              <a:tailEnd type="triangle" w="med" len="med"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556097" name="Straight Connector 67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25454F02-0C28-0A2F-FCF0-B982E1198B41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11605509" y="20660256"/>
                                              <a:ext cx="1721" cy="17269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6350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xtLst>
                                              <a:ext uri="{909E8E84-426E-40DD-AFC4-6F175D3DCCD1}">
                                                <a14:hiddenFill xmlns:a14="http://schemas.microsoft.com/office/drawing/2010/main">
                                                  <a:noFill/>
                                                </a14:hiddenFill>
                                              </a:ext>
                                            </a:extLst>
                                          </xdr:spPr>
                                        </xdr:cxnSp>
                                      </xdr:grpSp>
                                    </xdr:grpSp>
                                  </xdr:grpSp>
                                  <xdr:cxnSp macro="">
                                    <xdr:nvCxnSpPr>
                                      <xdr:cNvPr id="556079" name="Straight Connector 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11970644-8D20-A044-11EC-27D6326FACA6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4066265" y="3832413"/>
                                        <a:ext cx="3142" cy="26273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56080" name="Straight Arrow Connector 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6700E82-FFDC-48E5-2ED0-C0499CB7947F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3539786" y="2674257"/>
                                        <a:ext cx="1700" cy="238118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 type="triangle" w="med" len="med"/>
                                        <a:tailEnd type="triangle" w="med" len="med"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56081" name="Straight Connector 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B503DD14-8D8A-D883-47FC-3B2BA9F77C3A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3416696" y="2667830"/>
                                        <a:ext cx="991616" cy="454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56082" name="Straight Connector 1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DDCBCCF-F45A-E10C-69B7-496D627F9DBC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4488184" y="2687228"/>
                                        <a:ext cx="288077" cy="154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158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</xdr:grpSp>
                                <xdr:sp macro="" textlink="">
                                  <xdr:nvSpPr>
                                    <xdr:cNvPr id="556076" name="TextBox 10">
                                      <a:extLst>
                                        <a:ext uri="{FF2B5EF4-FFF2-40B4-BE49-F238E27FC236}">
                                          <a16:creationId xmlns:a16="http://schemas.microsoft.com/office/drawing/2014/main" id="{A98B39DF-BCE2-2FFB-D7D1-55EBE211F505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2413511" y="2085472"/>
                                      <a:ext cx="337350" cy="314621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r>
                                        <a:rPr lang="en-US" sz="1200"/>
                                        <a:t>b</a:t>
                                      </a:r>
                                      <a:endParaRPr lang="en-US" sz="1200" baseline="-25000"/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556077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4D0FB4D0-37AE-D00A-A0DD-25133162B66C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2348655" y="2386291"/>
                                      <a:ext cx="439517" cy="2362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  <xdr:grpSp>
                                <xdr:nvGrpSpPr>
                                  <xdr:cNvPr id="556070" name="Nhóm 150">
                                    <a:extLst>
                                      <a:ext uri="{FF2B5EF4-FFF2-40B4-BE49-F238E27FC236}">
                                        <a16:creationId xmlns:a16="http://schemas.microsoft.com/office/drawing/2014/main" id="{046A52E8-1F10-5B28-04FB-3DA54E8F86B5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2652455" y="1019283"/>
                                    <a:ext cx="1580884" cy="486855"/>
                                    <a:chOff x="695835" y="1027389"/>
                                    <a:chExt cx="3315996" cy="615183"/>
                                  </a:xfrm>
                                </xdr:grpSpPr>
                                <xdr:sp macro="" textlink="">
                                  <xdr:nvSpPr>
                                    <xdr:cNvPr id="556071" name="TextBox 117">
                                      <a:extLst>
                                        <a:ext uri="{FF2B5EF4-FFF2-40B4-BE49-F238E27FC236}">
                                          <a16:creationId xmlns:a16="http://schemas.microsoft.com/office/drawing/2014/main" id="{5BAD2D04-278F-DE9D-58E9-DDB9571954EE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1997688" y="1027389"/>
                                      <a:ext cx="912290" cy="43499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pPr marL="0" marR="0" lvl="0" indent="0" defTabSz="914400" eaLnBrk="1" fontAlgn="auto" latinLnBrk="0" hangingPunct="1">
                                        <a:lnSpc>
                                          <a:spcPct val="100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Tx/>
                                        <a:buSzTx/>
                                        <a:buFontTx/>
                                        <a:buNone/>
                                        <a:tabLst/>
                                        <a:defRPr/>
                                      </a:pPr>
                                      <a:r>
                                        <a:rPr lang="en-US" sz="1200">
                                          <a:latin typeface="Calibri (Body)"/>
                                          <a:cs typeface="Times New Roman" panose="02020603050405020304" pitchFamily="18" charset="0"/>
                                        </a:rPr>
                                        <a:t>L</a:t>
                                      </a:r>
                                      <a:r>
                                        <a:rPr lang="en-US" sz="1200" baseline="-25000">
                                          <a:latin typeface="Calibri (Body)"/>
                                        </a:rPr>
                                        <a:t>1 </a:t>
                                      </a:r>
                                      <a:endParaRPr lang="en-US" sz="1200">
                                        <a:effectLst/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556072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4C82AB4E-E5CB-C62A-A8EF-628337411F3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699703" y="1340913"/>
                                      <a:ext cx="3312128" cy="4599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556073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6CB79E59-1F48-A03C-4F93-F0A5F8FBAF86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95835" y="1258246"/>
                                      <a:ext cx="4443" cy="35473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556074" name="Straight Connector 67">
                                      <a:extLst>
                                        <a:ext uri="{FF2B5EF4-FFF2-40B4-BE49-F238E27FC236}">
                                          <a16:creationId xmlns:a16="http://schemas.microsoft.com/office/drawing/2014/main" id="{1A4C4AE4-441E-1FB9-5D08-22AAFF796322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4001300" y="1287562"/>
                                      <a:ext cx="4443" cy="35501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</xdr:grpSp>
                            <xdr:grpSp>
                              <xdr:nvGrpSpPr>
                                <xdr:cNvPr id="556053" name="Nhóm 177">
                                  <a:extLst>
                                    <a:ext uri="{FF2B5EF4-FFF2-40B4-BE49-F238E27FC236}">
                                      <a16:creationId xmlns:a16="http://schemas.microsoft.com/office/drawing/2014/main" id="{2CDA1B91-0FD6-AE80-ABDA-F6A9023D6718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1094088" y="3707609"/>
                                  <a:ext cx="3793145" cy="2851820"/>
                                  <a:chOff x="1094088" y="3707609"/>
                                  <a:chExt cx="3793145" cy="2851820"/>
                                </a:xfrm>
                              </xdr:grpSpPr>
                              <xdr:grpSp>
                                <xdr:nvGrpSpPr>
                                  <xdr:cNvPr id="556054" name="Nhóm 176">
                                    <a:extLst>
                                      <a:ext uri="{FF2B5EF4-FFF2-40B4-BE49-F238E27FC236}">
                                        <a16:creationId xmlns:a16="http://schemas.microsoft.com/office/drawing/2014/main" id="{099A491B-BC78-0FD7-381B-567509964D48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1094088" y="3707609"/>
                                    <a:ext cx="3793145" cy="2851820"/>
                                    <a:chOff x="1094088" y="3707609"/>
                                    <a:chExt cx="3793145" cy="2851820"/>
                                  </a:xfrm>
                                </xdr:grpSpPr>
                                <xdr:grpSp>
                                  <xdr:nvGrpSpPr>
                                    <xdr:cNvPr id="556058" name="Group 108">
                                      <a:extLst>
                                        <a:ext uri="{FF2B5EF4-FFF2-40B4-BE49-F238E27FC236}">
                                          <a16:creationId xmlns:a16="http://schemas.microsoft.com/office/drawing/2014/main" id="{0035F92F-68F6-8B29-46A2-062DDFD1F2EE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094088" y="3707609"/>
                                      <a:ext cx="3793145" cy="2851820"/>
                                      <a:chOff x="3420344" y="3392066"/>
                                      <a:chExt cx="2178437" cy="820650"/>
                                    </a:xfrm>
                                  </xdr:grpSpPr>
                                  <xdr:sp macro="" textlink="">
                                    <xdr:nvSpPr>
                                      <xdr:cNvPr id="556062" name="Rectangle 85678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73786BA-A183-CEF8-71FA-89A4FA7EAB1B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 bwMode="auto">
                                      <a:xfrm>
                                        <a:off x="3827219" y="3396922"/>
                                        <a:ext cx="1771562" cy="815794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 w="15875" cap="flat" cmpd="sng" algn="ctr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med" len="med"/>
                                        <a:tailEnd type="none" w="med" len="med"/>
                                      </a:ln>
                                      <a:effectLst/>
                                    </xdr:spPr>
                                    <xdr:txBody>
                                      <a:bodyPr vertOverflow="clip" wrap="square" lIns="18288" tIns="0" rIns="0" bIns="0" rtlCol="0" anchor="ctr" upright="1"/>
                                      <a:lstStyle/>
                                      <a:p>
                                        <a:pPr algn="l"/>
                                        <a:endParaRPr lang="en-US" sz="1100"/>
                                      </a:p>
                                    </xdr:txBody>
                                  </xdr:sp>
                                  <xdr:sp macro="" textlink="">
                                    <xdr:nvSpPr>
                                      <xdr:cNvPr id="556063" name="TextBox 1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E0A555F-71C4-7BE8-26B6-D7650AAFD153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>
                                        <a:off x="4195621" y="3683024"/>
                                        <a:ext cx="226568" cy="92009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b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56064" name="Straight Connector 14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73088815-D429-19A7-FB2F-95EC2D4FB6EC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 bwMode="auto">
                                      <a:xfrm flipV="1">
                                        <a:off x="3525148" y="4211425"/>
                                        <a:ext cx="224177" cy="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chemeClr val="tx1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  <xdr:sp macro="" textlink="">
                                    <xdr:nvSpPr>
                                      <xdr:cNvPr id="556065" name="TextBox 1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23056FD7-EEF2-022E-55FC-FC49E46AA0D8}"/>
                                          </a:ext>
                                        </a:extLst>
                                      </xdr:cNvPr>
                                      <xdr:cNvSpPr txBox="1"/>
                                    </xdr:nvSpPr>
                                    <xdr:spPr bwMode="auto">
                                      <a:xfrm rot="16200000">
                                        <a:off x="3462842" y="3765494"/>
                                        <a:ext cx="81756" cy="166752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</xdr:spPr>
                                    <xdr:style>
                                      <a:lnRef idx="0">
                                        <a:scrgbClr r="0" g="0" b="0"/>
                                      </a:lnRef>
                                      <a:fillRef idx="0">
                                        <a:scrgbClr r="0" g="0" b="0"/>
                                      </a:fillRef>
                                      <a:effectRef idx="0">
                                        <a:scrgbClr r="0" g="0" b="0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  <xdr:txBody>
                                      <a:bodyPr vertOverflow="clip" horzOverflow="clip" wrap="square" rtlCol="0" anchor="t">
                                        <a:noAutofit/>
                                      </a:bodyPr>
                                      <a:lstStyle/>
                                      <a:p>
                                        <a:r>
                                          <a:rPr lang="en-US" sz="1200"/>
                                          <a:t>B</a:t>
                                        </a:r>
                                        <a:endParaRPr lang="en-US" sz="1200" baseline="-250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56066" name="Straight Arrow Connector 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5920601A-B138-E6EF-E3A1-E356689E19ED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3579504" y="3395781"/>
                                        <a:ext cx="2742" cy="81693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6350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 type="triangle" w="med" len="med"/>
                                        <a:tailEnd type="triangle" w="med" len="med"/>
                                      </a:ln>
                                      <a:extLst>
                                        <a:ext uri="{909E8E84-426E-40DD-AFC4-6F175D3DCCD1}">
                                          <a14:hiddenFill xmlns:a14="http://schemas.microsoft.com/office/drawing/2010/main">
                                            <a:noFill/>
                                          </a14:hiddenFill>
                                        </a:ext>
                                      </a:extLst>
                                    </xdr:spPr>
                                  </xdr:cxnSp>
                                  <xdr:cxnSp macro="">
                                    <xdr:nvCxnSpPr>
                                      <xdr:cNvPr id="556067" name="Straight Connector 1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D1D0743C-FE4E-4F4D-020E-655C7CED04A4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 bwMode="auto">
                                      <a:xfrm flipV="1">
                                        <a:off x="3525148" y="3392066"/>
                                        <a:ext cx="228846" cy="0"/>
                                      </a:xfrm>
                                      <a:prstGeom prst="line">
                                        <a:avLst/>
                                      </a:prstGeom>
                                      <a:ln>
                                        <a:solidFill>
                                          <a:schemeClr val="tx1"/>
                                        </a:solidFill>
                                      </a:ln>
                                    </xdr:spPr>
                                    <xdr:style>
                                      <a:lnRef idx="1">
                                        <a:schemeClr val="accent1"/>
                                      </a:lnRef>
                                      <a:fillRef idx="0">
                                        <a:schemeClr val="accent1"/>
                                      </a:fillRef>
                                      <a:effectRef idx="0">
                                        <a:schemeClr val="accent1"/>
                                      </a:effectRef>
                                      <a:fontRef idx="minor">
                                        <a:schemeClr val="tx1"/>
                                      </a:fontRef>
                                    </xdr:style>
                                  </xdr:cxnSp>
                                </xdr:grpSp>
                                <xdr:cxnSp macro="">
                                  <xdr:nvCxnSpPr>
                                    <xdr:cNvPr id="556059" name="Straight Connector 9">
                                      <a:extLst>
                                        <a:ext uri="{FF2B5EF4-FFF2-40B4-BE49-F238E27FC236}">
                                          <a16:creationId xmlns:a16="http://schemas.microsoft.com/office/drawing/2014/main" id="{5FB323DD-C3D8-3BA5-7C13-03BDDEC5B7FE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1744756" y="4453497"/>
                                      <a:ext cx="3116916" cy="112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prstDash val="lgDashDot"/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cxnSp macro="">
                                  <xdr:nvCxnSpPr>
                                    <xdr:cNvPr id="556060" name="Straight Connector 9">
                                      <a:extLst>
                                        <a:ext uri="{FF2B5EF4-FFF2-40B4-BE49-F238E27FC236}">
                                          <a16:creationId xmlns:a16="http://schemas.microsoft.com/office/drawing/2014/main" id="{4D73B8EC-92B7-B851-9283-3C5FC44AD539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1751479" y="5817813"/>
                                      <a:ext cx="3116916" cy="1120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prstDash val="lgDashDot"/>
                                      <a:round/>
                                      <a:headEnd/>
                                      <a:tailEnd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  <xdr:sp macro="" textlink="">
                                  <xdr:nvSpPr>
                                    <xdr:cNvPr id="556061" name="Rectangle 8567830">
                                      <a:extLst>
                                        <a:ext uri="{FF2B5EF4-FFF2-40B4-BE49-F238E27FC236}">
                                          <a16:creationId xmlns:a16="http://schemas.microsoft.com/office/drawing/2014/main" id="{43B9D734-3E5C-C534-06AD-858BEC5AC78D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 bwMode="auto">
                                    <a:xfrm>
                                      <a:off x="2226609" y="4217894"/>
                                      <a:ext cx="2231651" cy="1834123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 w="19050" cap="flat" cmpd="sng" algn="ctr">
                                      <a:solidFill>
                                        <a:srgbClr val="000000"/>
                                      </a:solidFill>
                                      <a:prstDash val="solid"/>
                                      <a:round/>
                                      <a:headEnd type="none" w="med" len="med"/>
                                      <a:tailEnd type="none" w="med" len="med"/>
                                    </a:ln>
                                    <a:effectLst/>
                                  </xdr:spPr>
                                  <xdr:txBody>
                                    <a:bodyPr vertOverflow="clip" wrap="square" lIns="18288" tIns="0" rIns="0" bIns="0" rtlCol="0" anchor="ctr" upright="1"/>
                                    <a:lstStyle/>
                                    <a:p>
                                      <a:pPr algn="l"/>
                                      <a:endParaRPr lang="en-US" sz="1100"/>
                                    </a:p>
                                  </xdr:txBody>
                                </xdr:sp>
                              </xdr:grpSp>
                              <xdr:grpSp>
                                <xdr:nvGrpSpPr>
                                  <xdr:cNvPr id="556055" name="Nhóm 173">
                                    <a:extLst>
                                      <a:ext uri="{FF2B5EF4-FFF2-40B4-BE49-F238E27FC236}">
                                        <a16:creationId xmlns:a16="http://schemas.microsoft.com/office/drawing/2014/main" id="{BDE56A56-3F07-8260-D9B8-587BCFC58874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 rot="16200000">
                                    <a:off x="3996037" y="4975411"/>
                                    <a:ext cx="1374577" cy="345107"/>
                                    <a:chOff x="5078016" y="1518047"/>
                                    <a:chExt cx="1579434" cy="345107"/>
                                  </a:xfrm>
                                </xdr:grpSpPr>
                                <xdr:sp macro="" textlink="">
                                  <xdr:nvSpPr>
                                    <xdr:cNvPr id="556056" name="TextBox 117">
                                      <a:extLst>
                                        <a:ext uri="{FF2B5EF4-FFF2-40B4-BE49-F238E27FC236}">
                                          <a16:creationId xmlns:a16="http://schemas.microsoft.com/office/drawing/2014/main" id="{3F7224C4-FB0A-66A3-8714-6A2617516A82}"/>
                                        </a:ext>
                                      </a:extLst>
                                    </xdr:cNvPr>
                                    <xdr:cNvSpPr txBox="1"/>
                                  </xdr:nvSpPr>
                                  <xdr:spPr bwMode="auto">
                                    <a:xfrm>
                                      <a:off x="5696978" y="1518047"/>
                                      <a:ext cx="435038" cy="345107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</xdr:spPr>
                                  <xdr:style>
                                    <a:lnRef idx="0">
                                      <a:scrgbClr r="0" g="0" b="0"/>
                                    </a:lnRef>
                                    <a:fillRef idx="0">
                                      <a:scrgbClr r="0" g="0" b="0"/>
                                    </a:fillRef>
                                    <a:effectRef idx="0">
                                      <a:scrgbClr r="0" g="0" b="0"/>
                                    </a:effectRef>
                                    <a:fontRef idx="minor">
                                      <a:schemeClr val="tx1"/>
                                    </a:fontRef>
                                  </xdr:style>
                                  <xdr:txBody>
                                    <a:bodyPr vertOverflow="clip" horzOverflow="clip" wrap="square" rtlCol="0" anchor="t">
                                      <a:noAutofit/>
                                    </a:bodyPr>
                                    <a:lstStyle/>
                                    <a:p>
                                      <a:pPr marL="0" marR="0" lvl="0" indent="0" defTabSz="914400" eaLnBrk="1" fontAlgn="auto" latinLnBrk="0" hangingPunct="1">
                                        <a:lnSpc>
                                          <a:spcPct val="100000"/>
                                        </a:lnSpc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ClrTx/>
                                        <a:buSzTx/>
                                        <a:buFontTx/>
                                        <a:buNone/>
                                        <a:tabLst/>
                                        <a:defRPr/>
                                      </a:pPr>
                                      <a:r>
                                        <a:rPr lang="en-US" sz="1200">
                                          <a:latin typeface="Calibri (Body)"/>
                                          <a:cs typeface="Times New Roman" panose="02020603050405020304" pitchFamily="18" charset="0"/>
                                        </a:rPr>
                                        <a:t>L</a:t>
                                      </a:r>
                                      <a:r>
                                        <a:rPr lang="en-US" sz="1200" baseline="-25000">
                                          <a:latin typeface="Calibri (Body)"/>
                                        </a:rPr>
                                        <a:t>2 </a:t>
                                      </a:r>
                                      <a:endParaRPr lang="en-US" sz="1200">
                                        <a:effectLst/>
                                      </a:endParaRPr>
                                    </a:p>
                                  </xdr:txBody>
                                </xdr:sp>
                                <xdr:cxnSp macro="">
                                  <xdr:nvCxnSpPr>
                                    <xdr:cNvPr id="556057" name="Straight Arrow Connector 70">
                                      <a:extLst>
                                        <a:ext uri="{FF2B5EF4-FFF2-40B4-BE49-F238E27FC236}">
                                          <a16:creationId xmlns:a16="http://schemas.microsoft.com/office/drawing/2014/main" id="{CF5B5A86-7004-9B5E-DF4B-FDE0DE5831E3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V="1">
                                      <a:off x="5078016" y="1766784"/>
                                      <a:ext cx="1579434" cy="3649"/>
                                    </a:xfrm>
                                    <a:prstGeom prst="straightConnector1">
                                      <a:avLst/>
                                    </a:prstGeom>
                                    <a:noFill/>
                                    <a:ln w="6350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 type="triangle" w="med" len="med"/>
                                      <a:tailEnd type="triangle" w="med" len="med"/>
                                    </a:ln>
                                    <a:extLst>
                                      <a:ext uri="{909E8E84-426E-40DD-AFC4-6F175D3DCCD1}">
                                        <a14:hiddenFill xmlns:a14="http://schemas.microsoft.com/office/drawing/2010/main">
                                          <a:noFill/>
                                        </a14:hiddenFill>
                                      </a:ext>
                                    </a:extLst>
                                  </xdr:spPr>
                                </xdr:cxn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5</xdr:col>
      <xdr:colOff>627256</xdr:colOff>
      <xdr:row>10</xdr:row>
      <xdr:rowOff>241610</xdr:rowOff>
    </xdr:from>
    <xdr:to>
      <xdr:col>5</xdr:col>
      <xdr:colOff>627256</xdr:colOff>
      <xdr:row>11</xdr:row>
      <xdr:rowOff>130098</xdr:rowOff>
    </xdr:to>
    <xdr:cxnSp macro="">
      <xdr:nvCxnSpPr>
        <xdr:cNvPr id="556116" name="Straight Connector 556115">
          <a:extLst>
            <a:ext uri="{FF2B5EF4-FFF2-40B4-BE49-F238E27FC236}">
              <a16:creationId xmlns:a16="http://schemas.microsoft.com/office/drawing/2014/main" id="{5192AA29-22AF-2BA0-2368-57781FA14659}"/>
            </a:ext>
          </a:extLst>
        </xdr:cNvPr>
        <xdr:cNvCxnSpPr/>
      </xdr:nvCxnSpPr>
      <xdr:spPr bwMode="auto">
        <a:xfrm>
          <a:off x="4362915" y="2457915"/>
          <a:ext cx="0" cy="13474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529682</xdr:colOff>
      <xdr:row>11</xdr:row>
      <xdr:rowOff>0</xdr:rowOff>
    </xdr:from>
    <xdr:to>
      <xdr:col>5</xdr:col>
      <xdr:colOff>706243</xdr:colOff>
      <xdr:row>11</xdr:row>
      <xdr:rowOff>0</xdr:rowOff>
    </xdr:to>
    <xdr:cxnSp macro="">
      <xdr:nvCxnSpPr>
        <xdr:cNvPr id="556118" name="Straight Connector 556117">
          <a:extLst>
            <a:ext uri="{FF2B5EF4-FFF2-40B4-BE49-F238E27FC236}">
              <a16:creationId xmlns:a16="http://schemas.microsoft.com/office/drawing/2014/main" id="{7CE729C1-2DDF-453E-22B4-04A80D420674}"/>
            </a:ext>
          </a:extLst>
        </xdr:cNvPr>
        <xdr:cNvCxnSpPr/>
      </xdr:nvCxnSpPr>
      <xdr:spPr bwMode="auto">
        <a:xfrm flipH="1">
          <a:off x="4265341" y="2462561"/>
          <a:ext cx="176561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568665</xdr:colOff>
      <xdr:row>10</xdr:row>
      <xdr:rowOff>230188</xdr:rowOff>
    </xdr:from>
    <xdr:to>
      <xdr:col>5</xdr:col>
      <xdr:colOff>609487</xdr:colOff>
      <xdr:row>11</xdr:row>
      <xdr:rowOff>22679</xdr:rowOff>
    </xdr:to>
    <xdr:cxnSp macro="">
      <xdr:nvCxnSpPr>
        <xdr:cNvPr id="556120" name="Straight Connector 556119">
          <a:extLst>
            <a:ext uri="{FF2B5EF4-FFF2-40B4-BE49-F238E27FC236}">
              <a16:creationId xmlns:a16="http://schemas.microsoft.com/office/drawing/2014/main" id="{D7AFF0E8-6A9B-8BA2-C2CE-E699470553E3}"/>
            </a:ext>
          </a:extLst>
        </xdr:cNvPr>
        <xdr:cNvCxnSpPr/>
      </xdr:nvCxnSpPr>
      <xdr:spPr bwMode="auto">
        <a:xfrm flipV="1">
          <a:off x="4302465" y="2459038"/>
          <a:ext cx="40822" cy="40141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5</xdr:col>
      <xdr:colOff>607218</xdr:colOff>
      <xdr:row>10</xdr:row>
      <xdr:rowOff>230982</xdr:rowOff>
    </xdr:from>
    <xdr:to>
      <xdr:col>5</xdr:col>
      <xdr:colOff>648040</xdr:colOff>
      <xdr:row>11</xdr:row>
      <xdr:rowOff>26648</xdr:rowOff>
    </xdr:to>
    <xdr:cxnSp macro="">
      <xdr:nvCxnSpPr>
        <xdr:cNvPr id="556121" name="Straight Connector 556120">
          <a:extLst>
            <a:ext uri="{FF2B5EF4-FFF2-40B4-BE49-F238E27FC236}">
              <a16:creationId xmlns:a16="http://schemas.microsoft.com/office/drawing/2014/main" id="{23AD46FA-C731-448F-8ECB-D543BBF301A7}"/>
            </a:ext>
          </a:extLst>
        </xdr:cNvPr>
        <xdr:cNvCxnSpPr/>
      </xdr:nvCxnSpPr>
      <xdr:spPr bwMode="auto">
        <a:xfrm flipV="1">
          <a:off x="4341018" y="2459832"/>
          <a:ext cx="40822" cy="43316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15</xdr:row>
      <xdr:rowOff>185738</xdr:rowOff>
    </xdr:from>
    <xdr:to>
      <xdr:col>12</xdr:col>
      <xdr:colOff>390525</xdr:colOff>
      <xdr:row>15</xdr:row>
      <xdr:rowOff>185738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FA6D0879-6B58-449C-B5E9-34BC3BB8BD70}"/>
            </a:ext>
          </a:extLst>
        </xdr:cNvPr>
        <xdr:cNvSpPr>
          <a:spLocks noChangeShapeType="1"/>
        </xdr:cNvSpPr>
      </xdr:nvSpPr>
      <xdr:spPr bwMode="auto">
        <a:xfrm>
          <a:off x="5010150" y="3830638"/>
          <a:ext cx="13208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11</xdr:col>
      <xdr:colOff>38100</xdr:colOff>
      <xdr:row>26</xdr:row>
      <xdr:rowOff>80963</xdr:rowOff>
    </xdr:from>
    <xdr:to>
      <xdr:col>12</xdr:col>
      <xdr:colOff>0</xdr:colOff>
      <xdr:row>28</xdr:row>
      <xdr:rowOff>12699</xdr:rowOff>
    </xdr:to>
    <xdr:pic>
      <xdr:nvPicPr>
        <xdr:cNvPr id="3" name="Picture 64">
          <a:extLst>
            <a:ext uri="{FF2B5EF4-FFF2-40B4-BE49-F238E27FC236}">
              <a16:creationId xmlns:a16="http://schemas.microsoft.com/office/drawing/2014/main" id="{2BE79DD7-4873-43AF-A8F8-DD77E6B7C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5922963"/>
          <a:ext cx="533400" cy="376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23</xdr:row>
          <xdr:rowOff>38100</xdr:rowOff>
        </xdr:from>
        <xdr:to>
          <xdr:col>8</xdr:col>
          <xdr:colOff>0</xdr:colOff>
          <xdr:row>29</xdr:row>
          <xdr:rowOff>146050</xdr:rowOff>
        </xdr:to>
        <xdr:sp macro="" textlink="">
          <xdr:nvSpPr>
            <xdr:cNvPr id="562177" name="Object 1" hidden="1">
              <a:extLst>
                <a:ext uri="{63B3BB69-23CF-44E3-9099-C40C66FF867C}">
                  <a14:compatExt spid="_x0000_s562177"/>
                </a:ext>
                <a:ext uri="{FF2B5EF4-FFF2-40B4-BE49-F238E27FC236}">
                  <a16:creationId xmlns:a16="http://schemas.microsoft.com/office/drawing/2014/main" id="{00000000-0008-0000-0600-000001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00" mc:Ignorable="a14" a14:legacySpreadsheetColorIndex="13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400050</xdr:colOff>
          <xdr:row>4</xdr:row>
          <xdr:rowOff>127000</xdr:rowOff>
        </xdr:from>
        <xdr:to>
          <xdr:col>25</xdr:col>
          <xdr:colOff>107950</xdr:colOff>
          <xdr:row>11</xdr:row>
          <xdr:rowOff>107950</xdr:rowOff>
        </xdr:to>
        <xdr:sp macro="" textlink="">
          <xdr:nvSpPr>
            <xdr:cNvPr id="562178" name="Object 2" hidden="1">
              <a:extLst>
                <a:ext uri="{63B3BB69-23CF-44E3-9099-C40C66FF867C}">
                  <a14:compatExt spid="_x0000_s562178"/>
                </a:ext>
                <a:ext uri="{FF2B5EF4-FFF2-40B4-BE49-F238E27FC236}">
                  <a16:creationId xmlns:a16="http://schemas.microsoft.com/office/drawing/2014/main" id="{00000000-0008-0000-0600-000002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552450</xdr:colOff>
          <xdr:row>11</xdr:row>
          <xdr:rowOff>139700</xdr:rowOff>
        </xdr:from>
        <xdr:to>
          <xdr:col>24</xdr:col>
          <xdr:colOff>463550</xdr:colOff>
          <xdr:row>13</xdr:row>
          <xdr:rowOff>190500</xdr:rowOff>
        </xdr:to>
        <xdr:sp macro="" textlink="">
          <xdr:nvSpPr>
            <xdr:cNvPr id="562179" name="Object 3" hidden="1">
              <a:extLst>
                <a:ext uri="{63B3BB69-23CF-44E3-9099-C40C66FF867C}">
                  <a14:compatExt spid="_x0000_s562179"/>
                </a:ext>
                <a:ext uri="{FF2B5EF4-FFF2-40B4-BE49-F238E27FC236}">
                  <a16:creationId xmlns:a16="http://schemas.microsoft.com/office/drawing/2014/main" id="{00000000-0008-0000-0600-000003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469900</xdr:colOff>
          <xdr:row>44</xdr:row>
          <xdr:rowOff>152400</xdr:rowOff>
        </xdr:from>
        <xdr:to>
          <xdr:col>3</xdr:col>
          <xdr:colOff>241300</xdr:colOff>
          <xdr:row>53</xdr:row>
          <xdr:rowOff>50800</xdr:rowOff>
        </xdr:to>
        <xdr:sp macro="" textlink="">
          <xdr:nvSpPr>
            <xdr:cNvPr id="562180" name="Object 4" hidden="1">
              <a:extLst>
                <a:ext uri="{63B3BB69-23CF-44E3-9099-C40C66FF867C}">
                  <a14:compatExt spid="_x0000_s562180"/>
                </a:ext>
                <a:ext uri="{FF2B5EF4-FFF2-40B4-BE49-F238E27FC236}">
                  <a16:creationId xmlns:a16="http://schemas.microsoft.com/office/drawing/2014/main" id="{00000000-0008-0000-0600-000004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34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622300</xdr:colOff>
          <xdr:row>54</xdr:row>
          <xdr:rowOff>12700</xdr:rowOff>
        </xdr:from>
        <xdr:to>
          <xdr:col>9</xdr:col>
          <xdr:colOff>355600</xdr:colOff>
          <xdr:row>55</xdr:row>
          <xdr:rowOff>190500</xdr:rowOff>
        </xdr:to>
        <xdr:sp macro="" textlink="">
          <xdr:nvSpPr>
            <xdr:cNvPr id="562181" name="Object 5" hidden="1">
              <a:extLst>
                <a:ext uri="{63B3BB69-23CF-44E3-9099-C40C66FF867C}">
                  <a14:compatExt spid="_x0000_s562181"/>
                </a:ext>
                <a:ext uri="{FF2B5EF4-FFF2-40B4-BE49-F238E27FC236}">
                  <a16:creationId xmlns:a16="http://schemas.microsoft.com/office/drawing/2014/main" id="{00000000-0008-0000-0600-000005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165100</xdr:colOff>
          <xdr:row>16</xdr:row>
          <xdr:rowOff>146050</xdr:rowOff>
        </xdr:from>
        <xdr:to>
          <xdr:col>12</xdr:col>
          <xdr:colOff>431800</xdr:colOff>
          <xdr:row>18</xdr:row>
          <xdr:rowOff>31750</xdr:rowOff>
        </xdr:to>
        <xdr:sp macro="" textlink="">
          <xdr:nvSpPr>
            <xdr:cNvPr id="562182" name="Object 6" hidden="1">
              <a:extLst>
                <a:ext uri="{63B3BB69-23CF-44E3-9099-C40C66FF867C}">
                  <a14:compatExt spid="_x0000_s562182"/>
                </a:ext>
                <a:ext uri="{FF2B5EF4-FFF2-40B4-BE49-F238E27FC236}">
                  <a16:creationId xmlns:a16="http://schemas.microsoft.com/office/drawing/2014/main" id="{00000000-0008-0000-0600-000006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552450</xdr:colOff>
          <xdr:row>31</xdr:row>
          <xdr:rowOff>88900</xdr:rowOff>
        </xdr:from>
        <xdr:to>
          <xdr:col>12</xdr:col>
          <xdr:colOff>57150</xdr:colOff>
          <xdr:row>32</xdr:row>
          <xdr:rowOff>31750</xdr:rowOff>
        </xdr:to>
        <xdr:sp macro="" textlink="">
          <xdr:nvSpPr>
            <xdr:cNvPr id="562183" name="Object 7" hidden="1">
              <a:extLst>
                <a:ext uri="{63B3BB69-23CF-44E3-9099-C40C66FF867C}">
                  <a14:compatExt spid="_x0000_s562183"/>
                </a:ext>
                <a:ext uri="{FF2B5EF4-FFF2-40B4-BE49-F238E27FC236}">
                  <a16:creationId xmlns:a16="http://schemas.microsoft.com/office/drawing/2014/main" id="{00000000-0008-0000-0600-000007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38100</xdr:colOff>
          <xdr:row>57</xdr:row>
          <xdr:rowOff>6350</xdr:rowOff>
        </xdr:from>
        <xdr:to>
          <xdr:col>30</xdr:col>
          <xdr:colOff>336550</xdr:colOff>
          <xdr:row>58</xdr:row>
          <xdr:rowOff>50800</xdr:rowOff>
        </xdr:to>
        <xdr:sp macro="" textlink="">
          <xdr:nvSpPr>
            <xdr:cNvPr id="562184" name="Object 8" hidden="1">
              <a:extLst>
                <a:ext uri="{63B3BB69-23CF-44E3-9099-C40C66FF867C}">
                  <a14:compatExt spid="_x0000_s562184"/>
                </a:ext>
                <a:ext uri="{FF2B5EF4-FFF2-40B4-BE49-F238E27FC236}">
                  <a16:creationId xmlns:a16="http://schemas.microsoft.com/office/drawing/2014/main" id="{00000000-0008-0000-0600-000008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184150</xdr:colOff>
          <xdr:row>22</xdr:row>
          <xdr:rowOff>177800</xdr:rowOff>
        </xdr:from>
        <xdr:to>
          <xdr:col>12</xdr:col>
          <xdr:colOff>431800</xdr:colOff>
          <xdr:row>24</xdr:row>
          <xdr:rowOff>69850</xdr:rowOff>
        </xdr:to>
        <xdr:sp macro="" textlink="">
          <xdr:nvSpPr>
            <xdr:cNvPr id="562185" name="Object 9" hidden="1">
              <a:extLst>
                <a:ext uri="{63B3BB69-23CF-44E3-9099-C40C66FF867C}">
                  <a14:compatExt spid="_x0000_s562185"/>
                </a:ext>
                <a:ext uri="{FF2B5EF4-FFF2-40B4-BE49-F238E27FC236}">
                  <a16:creationId xmlns:a16="http://schemas.microsoft.com/office/drawing/2014/main" id="{00000000-0008-0000-0600-000009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215900</xdr:colOff>
          <xdr:row>25</xdr:row>
          <xdr:rowOff>6350</xdr:rowOff>
        </xdr:from>
        <xdr:to>
          <xdr:col>12</xdr:col>
          <xdr:colOff>450850</xdr:colOff>
          <xdr:row>26</xdr:row>
          <xdr:rowOff>31750</xdr:rowOff>
        </xdr:to>
        <xdr:sp macro="" textlink="">
          <xdr:nvSpPr>
            <xdr:cNvPr id="562186" name="Object 10" hidden="1">
              <a:extLst>
                <a:ext uri="{63B3BB69-23CF-44E3-9099-C40C66FF867C}">
                  <a14:compatExt spid="_x0000_s562186"/>
                </a:ext>
                <a:ext uri="{FF2B5EF4-FFF2-40B4-BE49-F238E27FC236}">
                  <a16:creationId xmlns:a16="http://schemas.microsoft.com/office/drawing/2014/main" id="{00000000-0008-0000-0600-00000A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219075</xdr:colOff>
      <xdr:row>33</xdr:row>
      <xdr:rowOff>152400</xdr:rowOff>
    </xdr:from>
    <xdr:to>
      <xdr:col>12</xdr:col>
      <xdr:colOff>371475</xdr:colOff>
      <xdr:row>33</xdr:row>
      <xdr:rowOff>152400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D9FC8CA0-35E8-45D0-85B1-4064333A6F97}"/>
            </a:ext>
          </a:extLst>
        </xdr:cNvPr>
        <xdr:cNvSpPr>
          <a:spLocks noChangeShapeType="1"/>
        </xdr:cNvSpPr>
      </xdr:nvSpPr>
      <xdr:spPr bwMode="auto">
        <a:xfrm>
          <a:off x="4997450" y="7458075"/>
          <a:ext cx="13144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30</xdr:col>
      <xdr:colOff>500063</xdr:colOff>
      <xdr:row>20</xdr:row>
      <xdr:rowOff>9525</xdr:rowOff>
    </xdr:from>
    <xdr:to>
      <xdr:col>37</xdr:col>
      <xdr:colOff>0</xdr:colOff>
      <xdr:row>28</xdr:row>
      <xdr:rowOff>122238</xdr:rowOff>
    </xdr:to>
    <xdr:pic>
      <xdr:nvPicPr>
        <xdr:cNvPr id="5" name="Picture 20">
          <a:extLst>
            <a:ext uri="{FF2B5EF4-FFF2-40B4-BE49-F238E27FC236}">
              <a16:creationId xmlns:a16="http://schemas.microsoft.com/office/drawing/2014/main" id="{582A29D9-66B6-4C8A-B23E-4BC733C9F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61" t="26175" r="27589" b="21867"/>
        <a:stretch>
          <a:fillRect/>
        </a:stretch>
      </xdr:blipFill>
      <xdr:spPr bwMode="auto">
        <a:xfrm>
          <a:off x="18000663" y="4654550"/>
          <a:ext cx="3563937" cy="1754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604541</xdr:colOff>
      <xdr:row>28</xdr:row>
      <xdr:rowOff>78924</xdr:rowOff>
    </xdr:from>
    <xdr:to>
      <xdr:col>11</xdr:col>
      <xdr:colOff>506250</xdr:colOff>
      <xdr:row>30</xdr:row>
      <xdr:rowOff>158751</xdr:rowOff>
    </xdr:to>
    <xdr:pic>
      <xdr:nvPicPr>
        <xdr:cNvPr id="6" name="Picture 3" descr="4T42-44">
          <a:extLst>
            <a:ext uri="{FF2B5EF4-FFF2-40B4-BE49-F238E27FC236}">
              <a16:creationId xmlns:a16="http://schemas.microsoft.com/office/drawing/2014/main" id="{18477F97-7B55-42C5-B02B-4E027242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82" t="22104" r="50589" b="46524"/>
        <a:stretch>
          <a:fillRect/>
        </a:stretch>
      </xdr:blipFill>
      <xdr:spPr bwMode="auto">
        <a:xfrm>
          <a:off x="5363866" y="6365424"/>
          <a:ext cx="504959" cy="4798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228600</xdr:colOff>
      <xdr:row>19</xdr:row>
      <xdr:rowOff>185738</xdr:rowOff>
    </xdr:from>
    <xdr:to>
      <xdr:col>12</xdr:col>
      <xdr:colOff>390525</xdr:colOff>
      <xdr:row>19</xdr:row>
      <xdr:rowOff>185738</xdr:rowOff>
    </xdr:to>
    <xdr:sp macro="" textlink="">
      <xdr:nvSpPr>
        <xdr:cNvPr id="7" name="Line 2">
          <a:extLst>
            <a:ext uri="{FF2B5EF4-FFF2-40B4-BE49-F238E27FC236}">
              <a16:creationId xmlns:a16="http://schemas.microsoft.com/office/drawing/2014/main" id="{DAD4DD80-2EE3-43F2-BDCB-11237B10D244}"/>
            </a:ext>
          </a:extLst>
        </xdr:cNvPr>
        <xdr:cNvSpPr>
          <a:spLocks noChangeShapeType="1"/>
        </xdr:cNvSpPr>
      </xdr:nvSpPr>
      <xdr:spPr bwMode="auto">
        <a:xfrm>
          <a:off x="5010150" y="4630738"/>
          <a:ext cx="13208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165100</xdr:colOff>
          <xdr:row>20</xdr:row>
          <xdr:rowOff>146050</xdr:rowOff>
        </xdr:from>
        <xdr:to>
          <xdr:col>12</xdr:col>
          <xdr:colOff>431800</xdr:colOff>
          <xdr:row>22</xdr:row>
          <xdr:rowOff>114300</xdr:rowOff>
        </xdr:to>
        <xdr:sp macro="" textlink="">
          <xdr:nvSpPr>
            <xdr:cNvPr id="562187" name="Object 11" hidden="1">
              <a:extLst>
                <a:ext uri="{63B3BB69-23CF-44E3-9099-C40C66FF867C}">
                  <a14:compatExt spid="_x0000_s562187"/>
                </a:ext>
                <a:ext uri="{FF2B5EF4-FFF2-40B4-BE49-F238E27FC236}">
                  <a16:creationId xmlns:a16="http://schemas.microsoft.com/office/drawing/2014/main" id="{00000000-0008-0000-0600-00000B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469900</xdr:colOff>
          <xdr:row>44</xdr:row>
          <xdr:rowOff>152400</xdr:rowOff>
        </xdr:from>
        <xdr:to>
          <xdr:col>14</xdr:col>
          <xdr:colOff>520700</xdr:colOff>
          <xdr:row>53</xdr:row>
          <xdr:rowOff>50800</xdr:rowOff>
        </xdr:to>
        <xdr:sp macro="" textlink="">
          <xdr:nvSpPr>
            <xdr:cNvPr id="562188" name="Object 12" hidden="1">
              <a:extLst>
                <a:ext uri="{63B3BB69-23CF-44E3-9099-C40C66FF867C}">
                  <a14:compatExt spid="_x0000_s562188"/>
                </a:ext>
                <a:ext uri="{FF2B5EF4-FFF2-40B4-BE49-F238E27FC236}">
                  <a16:creationId xmlns:a16="http://schemas.microsoft.com/office/drawing/2014/main" id="{00000000-0008-0000-0600-00000C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34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622300</xdr:colOff>
          <xdr:row>54</xdr:row>
          <xdr:rowOff>12700</xdr:rowOff>
        </xdr:from>
        <xdr:to>
          <xdr:col>20</xdr:col>
          <xdr:colOff>241300</xdr:colOff>
          <xdr:row>56</xdr:row>
          <xdr:rowOff>88900</xdr:rowOff>
        </xdr:to>
        <xdr:sp macro="" textlink="">
          <xdr:nvSpPr>
            <xdr:cNvPr id="562189" name="Object 13" hidden="1">
              <a:extLst>
                <a:ext uri="{63B3BB69-23CF-44E3-9099-C40C66FF867C}">
                  <a14:compatExt spid="_x0000_s562189"/>
                </a:ext>
                <a:ext uri="{FF2B5EF4-FFF2-40B4-BE49-F238E27FC236}">
                  <a16:creationId xmlns:a16="http://schemas.microsoft.com/office/drawing/2014/main" id="{00000000-0008-0000-0600-00000D94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40</xdr:col>
      <xdr:colOff>466725</xdr:colOff>
      <xdr:row>47</xdr:row>
      <xdr:rowOff>52388</xdr:rowOff>
    </xdr:from>
    <xdr:to>
      <xdr:col>42</xdr:col>
      <xdr:colOff>255587</xdr:colOff>
      <xdr:row>51</xdr:row>
      <xdr:rowOff>160338</xdr:rowOff>
    </xdr:to>
    <xdr:pic>
      <xdr:nvPicPr>
        <xdr:cNvPr id="8" name="Picture 47">
          <a:extLst>
            <a:ext uri="{FF2B5EF4-FFF2-40B4-BE49-F238E27FC236}">
              <a16:creationId xmlns:a16="http://schemas.microsoft.com/office/drawing/2014/main" id="{80F47348-D80A-4448-8835-BE67078C2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1225" y="10193338"/>
          <a:ext cx="954088" cy="91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gluongbenvung-my.sharepoint.com/personal/bang_nguyen_seiac_vn/Documents/NCBANG/TEST/MONG%20BAN%20KO%20SUON/MONG%20COT%20D411-25.xlsm" TargetMode="External"/><Relationship Id="rId1" Type="http://schemas.openxmlformats.org/officeDocument/2006/relationships/externalLinkPath" Target="MONG%20COT%20D411-25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IEN%20GIO/NMDG%20TNC1-2/FS%20DIEU%20CHINH/DUONG%20DAY%20220KV/TINH%20TOAN/TINH%20TOAN%20MONG/TINH%20TOAN%20MONG%20TRU%20-%20COT%20DON%20THANN%20NDT212-50.xls" TargetMode="External"/><Relationship Id="rId2" Type="http://schemas.openxmlformats.org/officeDocument/2006/relationships/externalLinkPath" Target="file:///D:\DIEN%20GIO\NMDG%20TNC1-2\FS%20DIEU%20CHINH\DUONG%20DAY%20220KV\TINH%20TOAN\TINH%20TOAN%20MONG\TINH%20TOAN%20MONG%20TRU%20-%20COT%20DON%20THANN%20NDT212-50.xls" TargetMode="External"/><Relationship Id="rId1" Type="http://schemas.openxmlformats.org/officeDocument/2006/relationships/externalLinkPath" Target="/DIEN%20GIO/NMDG%20TNC1-2/FS%20DIEU%20CHINH/DUONG%20DAY%20220KV/TINH%20TOAN/TINH%20TOAN%20MONG/TINH%20TOAN%20MONG%20TRU%20-%20COT%20DON%20THANN%20NDT212-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"/>
      <sheetName val="TongHop"/>
      <sheetName val="TRANG BIA"/>
      <sheetName val="TBA-1"/>
      <sheetName val="N411-20"/>
      <sheetName val="ChiTiet"/>
      <sheetName val="KL"/>
      <sheetName val="TONG HOP"/>
      <sheetName val="Bảng tra"/>
    </sheetNames>
    <sheetDataSet>
      <sheetData sheetId="0"/>
      <sheetData sheetId="1"/>
      <sheetData sheetId="2"/>
      <sheetData sheetId="3"/>
      <sheetData sheetId="4">
        <row r="1">
          <cell r="C1" t="str">
            <v xml:space="preserve">NHÀ MÁY ĐIỆN GIÓ </v>
          </cell>
        </row>
        <row r="3">
          <cell r="C3" t="str">
            <v>D411-25</v>
          </cell>
          <cell r="J3" t="str">
            <v>MB 2.6-4.6x5.2</v>
          </cell>
        </row>
        <row r="7">
          <cell r="K7">
            <v>2.6</v>
          </cell>
        </row>
        <row r="10">
          <cell r="K10">
            <v>4.5999999999999996</v>
          </cell>
        </row>
        <row r="11">
          <cell r="K11">
            <v>5.2</v>
          </cell>
        </row>
        <row r="14">
          <cell r="K14">
            <v>2.5</v>
          </cell>
        </row>
        <row r="16">
          <cell r="K16">
            <v>1</v>
          </cell>
        </row>
        <row r="20">
          <cell r="K20">
            <v>0.4</v>
          </cell>
        </row>
        <row r="21">
          <cell r="K21">
            <v>0.2</v>
          </cell>
        </row>
        <row r="23">
          <cell r="K23">
            <v>0.6</v>
          </cell>
        </row>
        <row r="98">
          <cell r="C98">
            <v>12</v>
          </cell>
          <cell r="E98">
            <v>20</v>
          </cell>
        </row>
        <row r="232">
          <cell r="C232">
            <v>20</v>
          </cell>
          <cell r="E232">
            <v>3</v>
          </cell>
        </row>
      </sheetData>
      <sheetData sheetId="5"/>
      <sheetData sheetId="6"/>
      <sheetData sheetId="7"/>
      <sheetData sheetId="8">
        <row r="18">
          <cell r="A18">
            <v>6</v>
          </cell>
          <cell r="B18">
            <v>0.28299999999999997</v>
          </cell>
          <cell r="C18">
            <v>0.222</v>
          </cell>
        </row>
        <row r="19">
          <cell r="A19">
            <v>8</v>
          </cell>
          <cell r="B19">
            <v>0.503</v>
          </cell>
          <cell r="C19">
            <v>0.39500000000000002</v>
          </cell>
        </row>
        <row r="20">
          <cell r="A20">
            <v>10</v>
          </cell>
          <cell r="B20">
            <v>0.78500000000000003</v>
          </cell>
          <cell r="C20">
            <v>0.71699999999999997</v>
          </cell>
        </row>
        <row r="21">
          <cell r="A21">
            <v>12</v>
          </cell>
          <cell r="B21">
            <v>1.1299999999999999</v>
          </cell>
          <cell r="C21">
            <v>0.88800000000000001</v>
          </cell>
        </row>
        <row r="22">
          <cell r="A22">
            <v>14</v>
          </cell>
          <cell r="B22">
            <v>1.54</v>
          </cell>
          <cell r="C22">
            <v>1.21</v>
          </cell>
        </row>
        <row r="23">
          <cell r="A23">
            <v>16</v>
          </cell>
          <cell r="B23">
            <v>2.0099999999999998</v>
          </cell>
          <cell r="C23">
            <v>1.58</v>
          </cell>
        </row>
        <row r="24">
          <cell r="A24">
            <v>18</v>
          </cell>
          <cell r="B24">
            <v>2.5499999999999998</v>
          </cell>
          <cell r="C24">
            <v>2</v>
          </cell>
        </row>
        <row r="25">
          <cell r="A25">
            <v>20</v>
          </cell>
          <cell r="B25">
            <v>3.14</v>
          </cell>
          <cell r="C25">
            <v>2.4700000000000002</v>
          </cell>
        </row>
        <row r="26">
          <cell r="A26">
            <v>22</v>
          </cell>
          <cell r="B26">
            <v>3.8</v>
          </cell>
          <cell r="C26">
            <v>2.98</v>
          </cell>
        </row>
        <row r="27">
          <cell r="A27">
            <v>25</v>
          </cell>
          <cell r="B27">
            <v>4.91</v>
          </cell>
          <cell r="C27">
            <v>3.85</v>
          </cell>
        </row>
        <row r="28">
          <cell r="A28">
            <v>28</v>
          </cell>
          <cell r="B28">
            <v>6.16</v>
          </cell>
          <cell r="C28">
            <v>4.83</v>
          </cell>
        </row>
        <row r="29">
          <cell r="A29">
            <v>30</v>
          </cell>
          <cell r="B29">
            <v>7.069</v>
          </cell>
          <cell r="C29">
            <v>5.5490000000000004</v>
          </cell>
        </row>
        <row r="30">
          <cell r="A30">
            <v>32</v>
          </cell>
          <cell r="B30">
            <v>8.0399999999999991</v>
          </cell>
          <cell r="C30">
            <v>6.31</v>
          </cell>
        </row>
        <row r="31">
          <cell r="A31">
            <v>34</v>
          </cell>
          <cell r="B31">
            <v>9.0790000000000006</v>
          </cell>
          <cell r="C31">
            <v>7.1269999999999998</v>
          </cell>
        </row>
        <row r="32">
          <cell r="A32">
            <v>36</v>
          </cell>
          <cell r="B32">
            <v>10.18</v>
          </cell>
          <cell r="C32">
            <v>7.99</v>
          </cell>
        </row>
        <row r="33">
          <cell r="A33">
            <v>40</v>
          </cell>
          <cell r="B33">
            <v>12.57</v>
          </cell>
          <cell r="C33">
            <v>9.86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IA"/>
      <sheetName val="HK"/>
      <sheetName val="TINH_TOAN"/>
      <sheetName val="KL"/>
      <sheetName val="Bảng tra"/>
    </sheetNames>
    <sheetDataSet>
      <sheetData sheetId="0"/>
      <sheetData sheetId="1"/>
      <sheetData sheetId="2">
        <row r="114">
          <cell r="F114" t="str">
            <v>M36</v>
          </cell>
        </row>
      </sheetData>
      <sheetData sheetId="3"/>
      <sheetData sheetId="4">
        <row r="2">
          <cell r="A2">
            <v>6</v>
          </cell>
          <cell r="B2">
            <v>0.28299999999999997</v>
          </cell>
          <cell r="C2">
            <v>0.222</v>
          </cell>
        </row>
        <row r="3">
          <cell r="A3">
            <v>8</v>
          </cell>
          <cell r="B3">
            <v>0.503</v>
          </cell>
          <cell r="C3">
            <v>0.39500000000000002</v>
          </cell>
        </row>
        <row r="4">
          <cell r="A4">
            <v>10</v>
          </cell>
          <cell r="B4">
            <v>0.78500000000000003</v>
          </cell>
          <cell r="C4">
            <v>0.71699999999999997</v>
          </cell>
        </row>
        <row r="5">
          <cell r="A5">
            <v>12</v>
          </cell>
          <cell r="B5">
            <v>1.1299999999999999</v>
          </cell>
          <cell r="C5">
            <v>0.88800000000000001</v>
          </cell>
        </row>
        <row r="6">
          <cell r="A6">
            <v>14</v>
          </cell>
          <cell r="B6">
            <v>1.54</v>
          </cell>
          <cell r="C6">
            <v>1.21</v>
          </cell>
        </row>
        <row r="7">
          <cell r="A7">
            <v>16</v>
          </cell>
          <cell r="B7">
            <v>2.0099999999999998</v>
          </cell>
          <cell r="C7">
            <v>1.58</v>
          </cell>
        </row>
        <row r="8">
          <cell r="A8">
            <v>18</v>
          </cell>
          <cell r="B8">
            <v>2.5499999999999998</v>
          </cell>
          <cell r="C8">
            <v>2</v>
          </cell>
        </row>
        <row r="9">
          <cell r="A9">
            <v>20</v>
          </cell>
          <cell r="B9">
            <v>3.14</v>
          </cell>
          <cell r="C9">
            <v>2.4700000000000002</v>
          </cell>
        </row>
        <row r="10">
          <cell r="A10">
            <v>22</v>
          </cell>
          <cell r="B10">
            <v>3.8</v>
          </cell>
          <cell r="C10">
            <v>2.98</v>
          </cell>
        </row>
        <row r="11">
          <cell r="A11">
            <v>25</v>
          </cell>
          <cell r="B11">
            <v>4.91</v>
          </cell>
          <cell r="C11">
            <v>3.85</v>
          </cell>
        </row>
        <row r="12">
          <cell r="A12">
            <v>28</v>
          </cell>
          <cell r="B12">
            <v>6.16</v>
          </cell>
          <cell r="C12">
            <v>4.83</v>
          </cell>
        </row>
        <row r="13">
          <cell r="A13">
            <v>30</v>
          </cell>
          <cell r="B13">
            <v>7.069</v>
          </cell>
          <cell r="C13">
            <v>5.5490000000000004</v>
          </cell>
        </row>
        <row r="14">
          <cell r="A14">
            <v>32</v>
          </cell>
          <cell r="B14">
            <v>8.0399999999999991</v>
          </cell>
          <cell r="C14">
            <v>6.31</v>
          </cell>
        </row>
        <row r="15">
          <cell r="A15">
            <v>34</v>
          </cell>
          <cell r="B15">
            <v>9.0790000000000006</v>
          </cell>
          <cell r="C15">
            <v>7.1269999999999998</v>
          </cell>
        </row>
        <row r="16">
          <cell r="A16">
            <v>36</v>
          </cell>
          <cell r="B16">
            <v>10.18</v>
          </cell>
          <cell r="C16">
            <v>7.99</v>
          </cell>
        </row>
        <row r="17">
          <cell r="A17">
            <v>40</v>
          </cell>
          <cell r="B17">
            <v>12.57</v>
          </cell>
          <cell r="C17">
            <v>9.86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Microsoft_Visio_2003-2010_Drawing6777777777777.vsd"/><Relationship Id="rId39" Type="http://schemas.openxmlformats.org/officeDocument/2006/relationships/image" Target="../media/image16.emf"/><Relationship Id="rId21" Type="http://schemas.openxmlformats.org/officeDocument/2006/relationships/oleObject" Target="../embeddings/oleObject11.bin"/><Relationship Id="rId34" Type="http://schemas.openxmlformats.org/officeDocument/2006/relationships/oleObject" Target="../embeddings/oleObject16.bin"/><Relationship Id="rId42" Type="http://schemas.openxmlformats.org/officeDocument/2006/relationships/comments" Target="../comments3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10.bin"/><Relationship Id="rId29" Type="http://schemas.openxmlformats.org/officeDocument/2006/relationships/image" Target="../media/image11.emf"/><Relationship Id="rId41" Type="http://schemas.openxmlformats.org/officeDocument/2006/relationships/image" Target="../media/image17.emf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3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5.emf"/><Relationship Id="rId40" Type="http://schemas.openxmlformats.org/officeDocument/2006/relationships/oleObject" Target="../embeddings/oleObject19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8.wmf"/><Relationship Id="rId28" Type="http://schemas.openxmlformats.org/officeDocument/2006/relationships/oleObject" Target="../embeddings/Microsoft_Visio_2003-2010_Drawing7888888888888.vsd"/><Relationship Id="rId36" Type="http://schemas.openxmlformats.org/officeDocument/2006/relationships/oleObject" Target="../embeddings/oleObject17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9.bin"/><Relationship Id="rId31" Type="http://schemas.openxmlformats.org/officeDocument/2006/relationships/image" Target="../media/image12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2.bin"/><Relationship Id="rId27" Type="http://schemas.openxmlformats.org/officeDocument/2006/relationships/image" Target="../media/image10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4.emf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3.vml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9.wmf"/><Relationship Id="rId33" Type="http://schemas.openxmlformats.org/officeDocument/2006/relationships/image" Target="../media/image13.emf"/><Relationship Id="rId38" Type="http://schemas.openxmlformats.org/officeDocument/2006/relationships/oleObject" Target="../embeddings/oleObject18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Microsoft_Visio_2003-2010_Drawing3141414141414141414141414.vsd"/><Relationship Id="rId5" Type="http://schemas.openxmlformats.org/officeDocument/2006/relationships/image" Target="../media/image10.emf"/><Relationship Id="rId4" Type="http://schemas.openxmlformats.org/officeDocument/2006/relationships/oleObject" Target="../embeddings/Microsoft_Visio_2003-2010_Drawing2131313131313131313131313.vsd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emf"/><Relationship Id="rId13" Type="http://schemas.openxmlformats.org/officeDocument/2006/relationships/oleObject" Target="../embeddings/oleObject25.bin"/><Relationship Id="rId18" Type="http://schemas.openxmlformats.org/officeDocument/2006/relationships/oleObject" Target="../embeddings/oleObject28.bin"/><Relationship Id="rId3" Type="http://schemas.openxmlformats.org/officeDocument/2006/relationships/oleObject" Target="../embeddings/oleObject20.bin"/><Relationship Id="rId21" Type="http://schemas.openxmlformats.org/officeDocument/2006/relationships/image" Target="../media/image32.emf"/><Relationship Id="rId7" Type="http://schemas.openxmlformats.org/officeDocument/2006/relationships/oleObject" Target="../embeddings/oleObject22.bin"/><Relationship Id="rId12" Type="http://schemas.openxmlformats.org/officeDocument/2006/relationships/image" Target="../media/image28.emf"/><Relationship Id="rId17" Type="http://schemas.openxmlformats.org/officeDocument/2006/relationships/image" Target="../media/image30.emf"/><Relationship Id="rId25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6" Type="http://schemas.openxmlformats.org/officeDocument/2006/relationships/oleObject" Target="../embeddings/oleObject27.bin"/><Relationship Id="rId20" Type="http://schemas.openxmlformats.org/officeDocument/2006/relationships/oleObject" Target="../embeddings/oleObject29.bin"/><Relationship Id="rId1" Type="http://schemas.openxmlformats.org/officeDocument/2006/relationships/drawing" Target="../drawings/drawing5.xml"/><Relationship Id="rId6" Type="http://schemas.openxmlformats.org/officeDocument/2006/relationships/image" Target="../media/image25.emf"/><Relationship Id="rId11" Type="http://schemas.openxmlformats.org/officeDocument/2006/relationships/oleObject" Target="../embeddings/oleObject24.bin"/><Relationship Id="rId24" Type="http://schemas.openxmlformats.org/officeDocument/2006/relationships/oleObject" Target="../embeddings/oleObject32.bin"/><Relationship Id="rId5" Type="http://schemas.openxmlformats.org/officeDocument/2006/relationships/oleObject" Target="../embeddings/oleObject21.bin"/><Relationship Id="rId15" Type="http://schemas.openxmlformats.org/officeDocument/2006/relationships/image" Target="../media/image29.emf"/><Relationship Id="rId23" Type="http://schemas.openxmlformats.org/officeDocument/2006/relationships/oleObject" Target="../embeddings/oleObject31.bin"/><Relationship Id="rId10" Type="http://schemas.openxmlformats.org/officeDocument/2006/relationships/image" Target="../media/image27.emf"/><Relationship Id="rId19" Type="http://schemas.openxmlformats.org/officeDocument/2006/relationships/image" Target="../media/image31.emf"/><Relationship Id="rId4" Type="http://schemas.openxmlformats.org/officeDocument/2006/relationships/image" Target="../media/image24.emf"/><Relationship Id="rId9" Type="http://schemas.openxmlformats.org/officeDocument/2006/relationships/oleObject" Target="../embeddings/oleObject23.bin"/><Relationship Id="rId14" Type="http://schemas.openxmlformats.org/officeDocument/2006/relationships/oleObject" Target="../embeddings/oleObject26.bin"/><Relationship Id="rId22" Type="http://schemas.openxmlformats.org/officeDocument/2006/relationships/oleObject" Target="../embeddings/oleObject3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Y178"/>
  <sheetViews>
    <sheetView topLeftCell="A50" workbookViewId="0">
      <selection activeCell="K5" sqref="K5:K7"/>
    </sheetView>
  </sheetViews>
  <sheetFormatPr defaultColWidth="9.09765625" defaultRowHeight="13"/>
  <cols>
    <col min="1" max="1" width="11.296875" style="1" customWidth="1"/>
    <col min="2" max="2" width="9.09765625" style="1"/>
    <col min="3" max="3" width="9.09765625" style="10"/>
    <col min="4" max="11" width="9.09765625" style="1"/>
    <col min="12" max="12" width="12.296875" style="1" customWidth="1"/>
    <col min="13" max="13" width="8.59765625" style="1" customWidth="1"/>
    <col min="14" max="16384" width="9.09765625" style="1"/>
  </cols>
  <sheetData>
    <row r="3" spans="2:25">
      <c r="B3" s="1" t="s">
        <v>44</v>
      </c>
    </row>
    <row r="4" spans="2:25">
      <c r="C4" s="10" t="s">
        <v>45</v>
      </c>
      <c r="G4" s="8" t="s">
        <v>479</v>
      </c>
      <c r="H4" s="8"/>
      <c r="I4" s="8"/>
      <c r="L4" s="82" t="s">
        <v>129</v>
      </c>
      <c r="M4" s="82" t="s">
        <v>130</v>
      </c>
      <c r="N4" s="82" t="s">
        <v>131</v>
      </c>
      <c r="O4" s="82" t="s">
        <v>132</v>
      </c>
      <c r="P4" s="82" t="s">
        <v>133</v>
      </c>
      <c r="Q4" s="83" t="s">
        <v>425</v>
      </c>
      <c r="R4" s="83" t="s">
        <v>134</v>
      </c>
      <c r="S4" s="83" t="s">
        <v>135</v>
      </c>
      <c r="T4" s="83" t="s">
        <v>136</v>
      </c>
      <c r="U4" s="84" t="s">
        <v>129</v>
      </c>
      <c r="V4" s="84" t="s">
        <v>130</v>
      </c>
      <c r="W4" s="84" t="s">
        <v>131</v>
      </c>
      <c r="X4" s="84" t="s">
        <v>132</v>
      </c>
      <c r="Y4" s="84" t="s">
        <v>133</v>
      </c>
    </row>
    <row r="5" spans="2:25">
      <c r="D5" s="1" t="s">
        <v>46</v>
      </c>
      <c r="G5" s="1">
        <f>IF(G4="M200",90,IF(G4="M250",110,IF(G4="M300",130,"Maùc beâ toâng")))</f>
        <v>110</v>
      </c>
      <c r="J5" s="1" t="s">
        <v>51</v>
      </c>
      <c r="L5" s="82">
        <v>1</v>
      </c>
      <c r="M5" s="82">
        <v>9.9000000000000008E-3</v>
      </c>
      <c r="N5" s="82">
        <v>4.5699999999999998E-2</v>
      </c>
      <c r="O5" s="82">
        <v>5.0999999999999997E-2</v>
      </c>
      <c r="P5" s="82">
        <v>8.5300000000000001E-2</v>
      </c>
      <c r="Q5" s="83">
        <f>+(M6-M5)/(L6-L5)</f>
        <v>2.9999999999999966E-3</v>
      </c>
      <c r="R5" s="83">
        <f>+(N6-N5)/(L6-L5)</f>
        <v>3.5000000000000003E-2</v>
      </c>
      <c r="S5" s="83">
        <f>+(O6-O5)/(L6-L5)</f>
        <v>6.3999999999999974E-2</v>
      </c>
      <c r="T5" s="83">
        <f>+(P6-P5)/(L6-L5)</f>
        <v>7.6999999999999916E-2</v>
      </c>
      <c r="U5" s="84">
        <v>1</v>
      </c>
      <c r="V5" s="84">
        <f>+IF($U5&lt;=1.5,IF($U5&lt;=1.4,IF($U5&lt;=1.3,IF($U5&lt;=1.2,IF($U5&lt;=1.1,M$5+($U5-$L$5)*Q$5,M$6+($U5-$L$6)*Q$6),M$7+($U5-$L$7)*Q$7),M$8+($U5-$L$8)*Q$8),M$9+($U5-$L$9)*Q$9),M$10)</f>
        <v>9.9000000000000008E-3</v>
      </c>
      <c r="W5" s="84">
        <f>+IF($U5&lt;=1.5,IF($U5&lt;=1.4,IF($U5&lt;=1.3,IF($U5&lt;=1.2,IF($U5&lt;=1.1,N$5+($U5-$L$5)*R$5,N$6+($U5-$L$6)*R$6),N$7+($U5-$L$7)*R$7),N$8+($U5-$L$8)*R$8),N$9+($U5-$L$9)*R$9),N$10)</f>
        <v>4.5699999999999998E-2</v>
      </c>
      <c r="X5" s="84">
        <f>+IF($U5&lt;=1.5,IF($U5&lt;=1.4,IF($U5&lt;=1.3,IF($U5&lt;=1.2,IF($U5&lt;=1.1,O$5+($U5-$L$5)*S$5,O$6+($U5-$L$6)*S$6),O$7+($U5-$L$7)*S$7),O$8+($U5-$L$8)*S$8),O$9+($U5-$L$9)*S$9),O$10)</f>
        <v>5.0999999999999997E-2</v>
      </c>
      <c r="Y5" s="84">
        <f>+IF($U5&lt;=1.5,IF($U5&lt;=1.4,IF($U5&lt;=1.3,IF($U5&lt;=1.2,IF($U5&lt;=1.1,P$5+($U5-$L$5)*T$5,P$6+($U5-$L$6)*T$6),P$7+($U5-$L$7)*T$7),P$8+($U5-$L$8)*T$8),P$9+($U5-$L$9)*T$9),P$10)</f>
        <v>8.5300000000000001E-2</v>
      </c>
    </row>
    <row r="6" spans="2:25">
      <c r="D6" s="1" t="s">
        <v>48</v>
      </c>
      <c r="G6" s="1">
        <f>IF(G4="M200",7.5,IF(G4="M250",8.8,IF(G4="M300",10,"Maùc be toâng")))</f>
        <v>8.8000000000000007</v>
      </c>
      <c r="L6" s="82">
        <v>1.1000000000000001</v>
      </c>
      <c r="M6" s="82">
        <v>1.0200000000000001E-2</v>
      </c>
      <c r="N6" s="82">
        <v>4.9200000000000001E-2</v>
      </c>
      <c r="O6" s="82">
        <v>5.74E-2</v>
      </c>
      <c r="P6" s="82">
        <v>9.2999999999999999E-2</v>
      </c>
      <c r="Q6" s="83">
        <f>+(M7-M6)/(L7-L6)</f>
        <v>0</v>
      </c>
      <c r="R6" s="83">
        <f>+(N7-N6)/(L7-L6)</f>
        <v>2.7000000000000045E-2</v>
      </c>
      <c r="S6" s="83">
        <f>+(O7-O6)/(L7-L6)</f>
        <v>6.2000000000000124E-2</v>
      </c>
      <c r="T6" s="83">
        <f>+(P7-P6)/(L7-L6)</f>
        <v>7.0000000000000159E-2</v>
      </c>
      <c r="U6" s="84">
        <v>1.1000000000000001</v>
      </c>
      <c r="V6" s="84">
        <f t="shared" ref="V6:W10" si="0">+IF($U6&lt;=1.5,IF($U6&lt;=1.4,IF($U6&lt;=1.3,IF($U6&lt;=1.2,IF($U6&lt;=1.1,M$5+($U6-$L$5)*Q$5,M$6+($U6-$L$6)*Q$6),M$7+($U6-$L$7)*Q$7),M$8+($U6-$L$8)*Q$8),M$9+($U6-$L$9)*Q$9),M$10)</f>
        <v>1.0200000000000001E-2</v>
      </c>
      <c r="W6" s="84">
        <f t="shared" si="0"/>
        <v>4.9200000000000001E-2</v>
      </c>
      <c r="X6" s="84">
        <f t="shared" ref="X6:Y10" si="1">+IF($U6&lt;=1.5,IF($U6&lt;=1.4,IF($U6&lt;=1.3,IF($U6&lt;=1.2,IF($U6&lt;=1.1,O$5+($U6-$L$5)*S$5,O$6+($U6-$L$6)*S$6),O$7+($U6-$L$7)*S$7),O$8+($U6-$L$8)*S$8),O$9+($U6-$L$9)*S$9),O$10)</f>
        <v>5.74E-2</v>
      </c>
      <c r="Y6" s="84">
        <f t="shared" si="1"/>
        <v>9.2999999999999999E-2</v>
      </c>
    </row>
    <row r="7" spans="2:25">
      <c r="C7" s="10" t="s">
        <v>50</v>
      </c>
      <c r="G7" s="8" t="s">
        <v>49</v>
      </c>
      <c r="H7" s="8"/>
      <c r="I7" s="8"/>
      <c r="L7" s="82">
        <v>1.2</v>
      </c>
      <c r="M7" s="82">
        <v>1.0200000000000001E-2</v>
      </c>
      <c r="N7" s="82">
        <v>5.1900000000000002E-2</v>
      </c>
      <c r="O7" s="82">
        <v>6.3600000000000004E-2</v>
      </c>
      <c r="P7" s="82">
        <v>0.1</v>
      </c>
      <c r="Q7" s="83">
        <f>+(M8-M7)/(L8-L7)</f>
        <v>0.90799999999999925</v>
      </c>
      <c r="R7" s="83">
        <f>+(N8-N7)/(L8-L7)</f>
        <v>2.099999999999996E-2</v>
      </c>
      <c r="S7" s="83">
        <f>+(O8-O7)/(L8-L7)</f>
        <v>6.3999999999999974E-2</v>
      </c>
      <c r="T7" s="83">
        <f>+(P8-P7)/(L8-L7)</f>
        <v>6.1999999999999916E-2</v>
      </c>
      <c r="U7" s="84">
        <v>1.2</v>
      </c>
      <c r="V7" s="84">
        <f t="shared" si="0"/>
        <v>1.0200000000000001E-2</v>
      </c>
      <c r="W7" s="84">
        <f t="shared" si="0"/>
        <v>5.1900000000000002E-2</v>
      </c>
      <c r="X7" s="84">
        <f t="shared" si="1"/>
        <v>6.3600000000000004E-2</v>
      </c>
      <c r="Y7" s="84">
        <f t="shared" si="1"/>
        <v>0.1</v>
      </c>
    </row>
    <row r="8" spans="2:25">
      <c r="D8" s="1" t="s">
        <v>47</v>
      </c>
      <c r="G8" s="1">
        <f>IF(G7="AI",2200,IF(G7="AII",2800,IF(G7="AIII",3600,"Nhoùm coát theùp")))</f>
        <v>2800</v>
      </c>
      <c r="J8" s="1" t="s">
        <v>51</v>
      </c>
      <c r="L8" s="82">
        <v>1.3</v>
      </c>
      <c r="M8" s="82">
        <v>0.10100000000000001</v>
      </c>
      <c r="N8" s="82">
        <v>5.3999999999999999E-2</v>
      </c>
      <c r="O8" s="82">
        <v>7.0000000000000007E-2</v>
      </c>
      <c r="P8" s="82">
        <v>0.1062</v>
      </c>
      <c r="Q8" s="83">
        <f>+(M9-M8)/(L9-L8)</f>
        <v>-0.91300000000000125</v>
      </c>
      <c r="R8" s="83">
        <f>+(N9-N8)/(L9-L8)</f>
        <v>1.2000000000000012E-2</v>
      </c>
      <c r="S8" s="83">
        <f>+(O9-O8)/(L9-L8)</f>
        <v>6.1000000000000026E-2</v>
      </c>
      <c r="T8" s="83">
        <f>+(P9-P8)/(L9-L8)</f>
        <v>5.3000000000000061E-2</v>
      </c>
      <c r="U8" s="84">
        <v>1.3</v>
      </c>
      <c r="V8" s="84">
        <f t="shared" si="0"/>
        <v>0.10100000000000001</v>
      </c>
      <c r="W8" s="84">
        <f t="shared" si="0"/>
        <v>5.3999999999999999E-2</v>
      </c>
      <c r="X8" s="84">
        <f t="shared" si="1"/>
        <v>7.0000000000000007E-2</v>
      </c>
      <c r="Y8" s="84">
        <f t="shared" si="1"/>
        <v>0.1062</v>
      </c>
    </row>
    <row r="9" spans="2:25">
      <c r="D9" s="1" t="s">
        <v>52</v>
      </c>
      <c r="G9" s="1">
        <v>5</v>
      </c>
      <c r="J9" s="1" t="s">
        <v>53</v>
      </c>
      <c r="L9" s="82">
        <v>1.4</v>
      </c>
      <c r="M9" s="82">
        <v>9.7000000000000003E-3</v>
      </c>
      <c r="N9" s="82">
        <v>5.5199999999999999E-2</v>
      </c>
      <c r="O9" s="82">
        <v>7.6100000000000001E-2</v>
      </c>
      <c r="P9" s="82">
        <v>0.1115</v>
      </c>
      <c r="Q9" s="83">
        <f>+(M10-M9)/(L10-L9)</f>
        <v>-2.0000000000000035E-3</v>
      </c>
      <c r="R9" s="83">
        <f>+(N10-N9)/(L10-L9)</f>
        <v>3.9999999999999723E-3</v>
      </c>
      <c r="S9" s="83">
        <f>+(O10-O9)/(L10-L9)</f>
        <v>0.06</v>
      </c>
      <c r="T9" s="83">
        <f>+(P10-P9)/(L10-L9)</f>
        <v>0.04</v>
      </c>
      <c r="U9" s="84" t="e">
        <f>+#REF!</f>
        <v>#REF!</v>
      </c>
      <c r="V9" s="84" t="e">
        <f t="shared" si="0"/>
        <v>#REF!</v>
      </c>
      <c r="W9" s="84" t="e">
        <f t="shared" si="0"/>
        <v>#REF!</v>
      </c>
      <c r="X9" s="84" t="e">
        <f t="shared" si="1"/>
        <v>#REF!</v>
      </c>
      <c r="Y9" s="84" t="e">
        <f t="shared" si="1"/>
        <v>#REF!</v>
      </c>
    </row>
    <row r="10" spans="2:25">
      <c r="D10" s="1" t="s">
        <v>56</v>
      </c>
      <c r="G10" s="1">
        <v>12</v>
      </c>
      <c r="L10" s="82">
        <v>1.5</v>
      </c>
      <c r="M10" s="82">
        <v>9.4999999999999998E-3</v>
      </c>
      <c r="N10" s="82">
        <v>5.5599999999999997E-2</v>
      </c>
      <c r="O10" s="82">
        <v>8.2100000000000006E-2</v>
      </c>
      <c r="P10" s="82">
        <v>0.11550000000000001</v>
      </c>
      <c r="Q10" s="85"/>
      <c r="R10" s="85"/>
      <c r="S10" s="85"/>
      <c r="T10" s="85"/>
      <c r="U10" s="84">
        <v>1.091</v>
      </c>
      <c r="V10" s="84">
        <f t="shared" si="0"/>
        <v>1.0173E-2</v>
      </c>
      <c r="W10" s="84">
        <f t="shared" si="0"/>
        <v>4.8884999999999998E-2</v>
      </c>
      <c r="X10" s="84">
        <f t="shared" si="1"/>
        <v>5.6823999999999993E-2</v>
      </c>
      <c r="Y10" s="84">
        <f t="shared" si="1"/>
        <v>9.2306999999999986E-2</v>
      </c>
    </row>
    <row r="11" spans="2:25">
      <c r="C11" s="10" t="s">
        <v>54</v>
      </c>
      <c r="G11" s="8" t="s">
        <v>55</v>
      </c>
      <c r="H11" s="8"/>
      <c r="I11" s="8"/>
    </row>
    <row r="12" spans="2:25">
      <c r="D12" s="1" t="s">
        <v>47</v>
      </c>
      <c r="G12" s="1">
        <f>IF(G11="AI",2200,IF(G11="AII",2800,IF(G11="AIII",3600,"Nhoùm coát theùp")))</f>
        <v>3600</v>
      </c>
      <c r="J12" s="1" t="s">
        <v>51</v>
      </c>
    </row>
    <row r="13" spans="2:25">
      <c r="D13" s="1" t="s">
        <v>52</v>
      </c>
      <c r="G13" s="1">
        <v>5</v>
      </c>
      <c r="J13" s="1" t="s">
        <v>53</v>
      </c>
    </row>
    <row r="15" spans="2:25">
      <c r="C15" s="86" t="s">
        <v>35</v>
      </c>
      <c r="D15" s="87"/>
      <c r="E15" s="87"/>
      <c r="F15" s="87"/>
      <c r="G15" s="87"/>
      <c r="H15" s="87"/>
      <c r="I15" s="87"/>
    </row>
    <row r="16" spans="2:25">
      <c r="D16" s="1" t="s">
        <v>37</v>
      </c>
      <c r="G16" s="1" t="s">
        <v>36</v>
      </c>
    </row>
    <row r="17" spans="3:21">
      <c r="C17" s="88" t="s">
        <v>121</v>
      </c>
      <c r="D17" s="89" t="s">
        <v>122</v>
      </c>
      <c r="E17" s="89" t="s">
        <v>123</v>
      </c>
      <c r="F17" s="89" t="s">
        <v>124</v>
      </c>
      <c r="G17" s="89" t="s">
        <v>125</v>
      </c>
      <c r="H17" s="89" t="s">
        <v>126</v>
      </c>
      <c r="I17" s="89" t="s">
        <v>127</v>
      </c>
      <c r="J17" s="89" t="s">
        <v>128</v>
      </c>
    </row>
    <row r="18" spans="3:21">
      <c r="C18" s="90" t="s">
        <v>27</v>
      </c>
      <c r="D18" s="91">
        <v>1</v>
      </c>
      <c r="E18" s="91">
        <v>1.1000000000000001</v>
      </c>
      <c r="F18" s="91">
        <f>+G18/2+E18/2</f>
        <v>1.1499999999999999</v>
      </c>
      <c r="G18" s="91">
        <v>1.2</v>
      </c>
      <c r="H18" s="91">
        <f>+G18/2+I18/2</f>
        <v>1.25</v>
      </c>
      <c r="I18" s="91">
        <f>+G18/2+J18/2</f>
        <v>1.2999999999999998</v>
      </c>
      <c r="J18" s="92">
        <v>1.4</v>
      </c>
    </row>
    <row r="19" spans="3:21" ht="16.5" customHeight="1">
      <c r="C19" s="93">
        <v>0</v>
      </c>
      <c r="D19" s="94">
        <v>1</v>
      </c>
      <c r="E19" s="94">
        <f>+(D19+G19)/2</f>
        <v>1</v>
      </c>
      <c r="F19" s="94">
        <f>+E19/2+G19/2</f>
        <v>1</v>
      </c>
      <c r="G19" s="94">
        <v>1</v>
      </c>
      <c r="H19" s="94">
        <f>+G19/2+I19/2</f>
        <v>1</v>
      </c>
      <c r="I19" s="94">
        <f>+G19/2+J19/2</f>
        <v>1</v>
      </c>
      <c r="J19" s="95">
        <v>1</v>
      </c>
      <c r="L19" s="96"/>
      <c r="M19" s="96"/>
      <c r="N19" s="97"/>
      <c r="O19" s="97"/>
      <c r="P19" s="97"/>
      <c r="S19" s="97"/>
      <c r="T19" s="97"/>
    </row>
    <row r="20" spans="3:21" ht="15.5">
      <c r="C20" s="93">
        <f>+C19/2+C21/2</f>
        <v>0.05</v>
      </c>
      <c r="D20" s="94">
        <f t="shared" ref="D20:J20" si="2">+D19/2+D21/2</f>
        <v>0.995</v>
      </c>
      <c r="E20" s="94">
        <f t="shared" ref="E20:E81" si="3">+(D20+G20)/2</f>
        <v>0.99550000000000005</v>
      </c>
      <c r="F20" s="94">
        <f t="shared" ref="F20:F81" si="4">+E20/2+G20/2</f>
        <v>0.99575000000000002</v>
      </c>
      <c r="G20" s="94">
        <f t="shared" si="2"/>
        <v>0.996</v>
      </c>
      <c r="H20" s="94">
        <f t="shared" ref="H20:H81" si="5">+G20/2+I20/2</f>
        <v>0.99612499999999993</v>
      </c>
      <c r="I20" s="94">
        <f t="shared" ref="I20:I81" si="6">+G20/2+J20/2</f>
        <v>0.99624999999999997</v>
      </c>
      <c r="J20" s="95">
        <f t="shared" si="2"/>
        <v>0.99649999999999994</v>
      </c>
      <c r="L20" s="96"/>
      <c r="M20" s="96"/>
      <c r="N20" s="98"/>
      <c r="O20" s="98"/>
      <c r="P20" s="3"/>
      <c r="T20" s="3"/>
      <c r="U20" s="3"/>
    </row>
    <row r="21" spans="3:21" ht="15.5">
      <c r="C21" s="93">
        <v>0.1</v>
      </c>
      <c r="D21" s="94">
        <f>+(D19+D23)/2</f>
        <v>0.99</v>
      </c>
      <c r="E21" s="94">
        <f t="shared" si="3"/>
        <v>0.99099999999999999</v>
      </c>
      <c r="F21" s="94">
        <f t="shared" si="4"/>
        <v>0.99150000000000005</v>
      </c>
      <c r="G21" s="94">
        <f>+(G19+G23)/2</f>
        <v>0.99199999999999999</v>
      </c>
      <c r="H21" s="94">
        <f t="shared" si="5"/>
        <v>0.99224999999999997</v>
      </c>
      <c r="I21" s="94">
        <f t="shared" si="6"/>
        <v>0.99249999999999994</v>
      </c>
      <c r="J21" s="95">
        <f>+(J19+J23)/2</f>
        <v>0.99299999999999999</v>
      </c>
      <c r="L21" s="98"/>
      <c r="M21" s="98"/>
      <c r="N21" s="99"/>
      <c r="O21" s="99"/>
      <c r="T21" s="98"/>
      <c r="U21" s="10"/>
    </row>
    <row r="22" spans="3:21" ht="15.5">
      <c r="C22" s="93">
        <v>0.15</v>
      </c>
      <c r="D22" s="94">
        <f t="shared" ref="D22:J22" si="7">+D21/2+D23/2</f>
        <v>0.98499999999999999</v>
      </c>
      <c r="E22" s="94">
        <f t="shared" si="3"/>
        <v>0.98649999999999993</v>
      </c>
      <c r="F22" s="94">
        <f t="shared" si="4"/>
        <v>0.98724999999999996</v>
      </c>
      <c r="G22" s="94">
        <f t="shared" si="7"/>
        <v>0.98799999999999999</v>
      </c>
      <c r="H22" s="94">
        <f t="shared" si="5"/>
        <v>0.988375</v>
      </c>
      <c r="I22" s="94">
        <f t="shared" si="6"/>
        <v>0.98875000000000002</v>
      </c>
      <c r="J22" s="95">
        <f t="shared" si="7"/>
        <v>0.98950000000000005</v>
      </c>
      <c r="L22" s="98"/>
      <c r="M22" s="98"/>
      <c r="N22" s="99"/>
      <c r="O22" s="99"/>
      <c r="T22" s="98"/>
      <c r="U22" s="10"/>
    </row>
    <row r="23" spans="3:21" ht="15.5">
      <c r="C23" s="93">
        <v>0.2</v>
      </c>
      <c r="D23" s="94">
        <f>+D27/2+D19/2</f>
        <v>0.98</v>
      </c>
      <c r="E23" s="94">
        <f t="shared" si="3"/>
        <v>0.98199999999999998</v>
      </c>
      <c r="F23" s="94">
        <f t="shared" si="4"/>
        <v>0.98299999999999998</v>
      </c>
      <c r="G23" s="94">
        <f>+G27/2+G19/2</f>
        <v>0.98399999999999999</v>
      </c>
      <c r="H23" s="94">
        <f t="shared" si="5"/>
        <v>0.98449999999999993</v>
      </c>
      <c r="I23" s="94">
        <f t="shared" si="6"/>
        <v>0.98499999999999999</v>
      </c>
      <c r="J23" s="95">
        <f>+J27/2+J19/2</f>
        <v>0.98599999999999999</v>
      </c>
      <c r="L23" s="98"/>
      <c r="M23" s="98"/>
      <c r="N23" s="99"/>
      <c r="O23" s="99"/>
      <c r="T23" s="98"/>
      <c r="U23" s="10"/>
    </row>
    <row r="24" spans="3:21" ht="15.5">
      <c r="C24" s="93">
        <f>+C23/2+C25/2</f>
        <v>0.25</v>
      </c>
      <c r="D24" s="94">
        <f>+D23/2+D25/2</f>
        <v>0.97499999999999998</v>
      </c>
      <c r="E24" s="94">
        <f t="shared" si="3"/>
        <v>0.97750000000000004</v>
      </c>
      <c r="F24" s="94">
        <f t="shared" si="4"/>
        <v>0.97875000000000001</v>
      </c>
      <c r="G24" s="94">
        <f>+G23/2+G25/2</f>
        <v>0.98</v>
      </c>
      <c r="H24" s="94">
        <f t="shared" si="5"/>
        <v>0.98062499999999997</v>
      </c>
      <c r="I24" s="94">
        <f t="shared" si="6"/>
        <v>0.98124999999999996</v>
      </c>
      <c r="J24" s="95">
        <f>+J23/2+J25/2</f>
        <v>0.98249999999999993</v>
      </c>
      <c r="L24" s="98"/>
      <c r="M24" s="98"/>
      <c r="N24" s="99"/>
      <c r="O24" s="99"/>
      <c r="T24" s="98"/>
      <c r="U24" s="10"/>
    </row>
    <row r="25" spans="3:21" ht="15.5">
      <c r="C25" s="93">
        <v>0.3</v>
      </c>
      <c r="D25" s="94">
        <f>+(D23+D27)/2</f>
        <v>0.97</v>
      </c>
      <c r="E25" s="94">
        <f t="shared" si="3"/>
        <v>0.97299999999999998</v>
      </c>
      <c r="F25" s="94">
        <f t="shared" si="4"/>
        <v>0.97449999999999992</v>
      </c>
      <c r="G25" s="94">
        <f>+(G23+G27)/2</f>
        <v>0.97599999999999998</v>
      </c>
      <c r="H25" s="94">
        <f t="shared" si="5"/>
        <v>0.97675000000000001</v>
      </c>
      <c r="I25" s="94">
        <f t="shared" si="6"/>
        <v>0.97750000000000004</v>
      </c>
      <c r="J25" s="95">
        <f>+(J23+J27)/2</f>
        <v>0.97899999999999998</v>
      </c>
      <c r="L25" s="98"/>
      <c r="M25" s="98"/>
      <c r="N25" s="99"/>
      <c r="O25" s="99"/>
      <c r="T25" s="98"/>
      <c r="U25" s="10"/>
    </row>
    <row r="26" spans="3:21" ht="15.5">
      <c r="C26" s="93">
        <f>+C25/2+C27/2</f>
        <v>0.35</v>
      </c>
      <c r="D26" s="94">
        <f>+D25/2+D27/2</f>
        <v>0.96499999999999997</v>
      </c>
      <c r="E26" s="94">
        <f t="shared" si="3"/>
        <v>0.96849999999999992</v>
      </c>
      <c r="F26" s="94">
        <f t="shared" si="4"/>
        <v>0.97024999999999995</v>
      </c>
      <c r="G26" s="94">
        <f>+G25/2+G27/2</f>
        <v>0.97199999999999998</v>
      </c>
      <c r="H26" s="94">
        <f t="shared" si="5"/>
        <v>0.97287499999999993</v>
      </c>
      <c r="I26" s="94">
        <f t="shared" si="6"/>
        <v>0.97375</v>
      </c>
      <c r="J26" s="95">
        <f>+J25/2+J27/2</f>
        <v>0.97550000000000003</v>
      </c>
      <c r="L26" s="98"/>
      <c r="M26" s="98"/>
      <c r="N26" s="99"/>
      <c r="O26" s="99"/>
      <c r="T26" s="98"/>
      <c r="U26" s="10"/>
    </row>
    <row r="27" spans="3:21">
      <c r="C27" s="93">
        <v>0.4</v>
      </c>
      <c r="D27" s="94">
        <v>0.96</v>
      </c>
      <c r="E27" s="94">
        <f t="shared" si="3"/>
        <v>0.96399999999999997</v>
      </c>
      <c r="F27" s="94">
        <f t="shared" si="4"/>
        <v>0.96599999999999997</v>
      </c>
      <c r="G27" s="94">
        <v>0.96799999999999997</v>
      </c>
      <c r="H27" s="94">
        <f t="shared" si="5"/>
        <v>0.96899999999999997</v>
      </c>
      <c r="I27" s="94">
        <f t="shared" si="6"/>
        <v>0.97</v>
      </c>
      <c r="J27" s="95">
        <v>0.97199999999999998</v>
      </c>
      <c r="R27" s="100"/>
      <c r="T27" s="10"/>
      <c r="U27" s="10"/>
    </row>
    <row r="28" spans="3:21">
      <c r="C28" s="93">
        <f>+C27/2+C29/2</f>
        <v>0.45</v>
      </c>
      <c r="D28" s="94">
        <f>+D27/2+D29/2</f>
        <v>0.94</v>
      </c>
      <c r="E28" s="94">
        <f t="shared" si="3"/>
        <v>0.94537499999999997</v>
      </c>
      <c r="F28" s="94">
        <f t="shared" si="4"/>
        <v>0.94806250000000003</v>
      </c>
      <c r="G28" s="94">
        <f>+G27/2+G29/2</f>
        <v>0.95074999999999998</v>
      </c>
      <c r="H28" s="94">
        <f t="shared" si="5"/>
        <v>0.95218749999999996</v>
      </c>
      <c r="I28" s="94">
        <f t="shared" si="6"/>
        <v>0.95362499999999994</v>
      </c>
      <c r="J28" s="95">
        <f>+J27/2+J29/2</f>
        <v>0.95649999999999991</v>
      </c>
      <c r="T28" s="10"/>
      <c r="U28" s="10"/>
    </row>
    <row r="29" spans="3:21">
      <c r="C29" s="93">
        <v>0.5</v>
      </c>
      <c r="D29" s="94">
        <f>+D27/2+D31/2</f>
        <v>0.91999999999999993</v>
      </c>
      <c r="E29" s="94">
        <f t="shared" si="3"/>
        <v>0.92674999999999996</v>
      </c>
      <c r="F29" s="94">
        <f t="shared" si="4"/>
        <v>0.93012499999999998</v>
      </c>
      <c r="G29" s="94">
        <f>+G27/2+G31/2</f>
        <v>0.9335</v>
      </c>
      <c r="H29" s="94">
        <f t="shared" si="5"/>
        <v>0.93537499999999996</v>
      </c>
      <c r="I29" s="94">
        <f t="shared" si="6"/>
        <v>0.93724999999999992</v>
      </c>
      <c r="J29" s="95">
        <f>+J27/2+J31/2</f>
        <v>0.94099999999999995</v>
      </c>
      <c r="T29" s="10"/>
      <c r="U29" s="10"/>
    </row>
    <row r="30" spans="3:21">
      <c r="C30" s="93">
        <f>+C29/2+C31/2</f>
        <v>0.55000000000000004</v>
      </c>
      <c r="D30" s="94">
        <f>+D29/2+D31/2</f>
        <v>0.89999999999999991</v>
      </c>
      <c r="E30" s="94">
        <f t="shared" si="3"/>
        <v>0.90812499999999996</v>
      </c>
      <c r="F30" s="94">
        <f t="shared" si="4"/>
        <v>0.91218749999999993</v>
      </c>
      <c r="G30" s="94">
        <f>+G29/2+G31/2</f>
        <v>0.91625000000000001</v>
      </c>
      <c r="H30" s="94">
        <f t="shared" si="5"/>
        <v>0.91856249999999995</v>
      </c>
      <c r="I30" s="94">
        <f t="shared" si="6"/>
        <v>0.920875</v>
      </c>
      <c r="J30" s="95">
        <f>+J29/2+J31/2</f>
        <v>0.92549999999999999</v>
      </c>
    </row>
    <row r="31" spans="3:21">
      <c r="C31" s="93">
        <v>0.6</v>
      </c>
      <c r="D31" s="94">
        <f>+D27/2+D35/2</f>
        <v>0.88</v>
      </c>
      <c r="E31" s="94">
        <f t="shared" si="3"/>
        <v>0.88949999999999996</v>
      </c>
      <c r="F31" s="94">
        <f t="shared" si="4"/>
        <v>0.89424999999999999</v>
      </c>
      <c r="G31" s="94">
        <f>+G27/2+G35/2</f>
        <v>0.89900000000000002</v>
      </c>
      <c r="H31" s="94">
        <f t="shared" si="5"/>
        <v>0.90175000000000005</v>
      </c>
      <c r="I31" s="94">
        <f t="shared" si="6"/>
        <v>0.90449999999999997</v>
      </c>
      <c r="J31" s="94">
        <f>+J27/2+J35/2</f>
        <v>0.90999999999999992</v>
      </c>
    </row>
    <row r="32" spans="3:21">
      <c r="C32" s="93">
        <v>0.65</v>
      </c>
      <c r="D32" s="94">
        <f>+D31/2+D33/2</f>
        <v>0.8600000000000001</v>
      </c>
      <c r="E32" s="94">
        <f t="shared" si="3"/>
        <v>0.87087500000000007</v>
      </c>
      <c r="F32" s="94">
        <f t="shared" si="4"/>
        <v>0.87631250000000005</v>
      </c>
      <c r="G32" s="94">
        <f>+G31/2+G33/2</f>
        <v>0.88175000000000003</v>
      </c>
      <c r="H32" s="94">
        <f t="shared" si="5"/>
        <v>0.88493750000000004</v>
      </c>
      <c r="I32" s="94">
        <f t="shared" si="6"/>
        <v>0.88812500000000005</v>
      </c>
      <c r="J32" s="94">
        <f>+J31/2+J33/2</f>
        <v>0.89449999999999996</v>
      </c>
    </row>
    <row r="33" spans="3:10">
      <c r="C33" s="93">
        <v>0.7</v>
      </c>
      <c r="D33" s="94">
        <f>+D31/2+D35/2</f>
        <v>0.84000000000000008</v>
      </c>
      <c r="E33" s="94">
        <f t="shared" si="3"/>
        <v>0.85225000000000006</v>
      </c>
      <c r="F33" s="94">
        <f t="shared" si="4"/>
        <v>0.85837500000000011</v>
      </c>
      <c r="G33" s="94">
        <f>+G31/2+G35/2</f>
        <v>0.86450000000000005</v>
      </c>
      <c r="H33" s="94">
        <f t="shared" si="5"/>
        <v>0.86812500000000004</v>
      </c>
      <c r="I33" s="94">
        <f t="shared" si="6"/>
        <v>0.87175000000000002</v>
      </c>
      <c r="J33" s="94">
        <f>+J31/2+J35/2</f>
        <v>0.879</v>
      </c>
    </row>
    <row r="34" spans="3:10">
      <c r="C34" s="93">
        <f>+C33/2+C35/2</f>
        <v>0.75</v>
      </c>
      <c r="D34" s="94">
        <f>+D33/2+D35/2</f>
        <v>0.82000000000000006</v>
      </c>
      <c r="E34" s="94">
        <f t="shared" si="3"/>
        <v>0.83362500000000006</v>
      </c>
      <c r="F34" s="94">
        <f t="shared" si="4"/>
        <v>0.84043750000000006</v>
      </c>
      <c r="G34" s="94">
        <f>+G33/2+G35/2</f>
        <v>0.84725000000000006</v>
      </c>
      <c r="H34" s="94">
        <f t="shared" si="5"/>
        <v>0.85131250000000003</v>
      </c>
      <c r="I34" s="94">
        <f t="shared" si="6"/>
        <v>0.855375</v>
      </c>
      <c r="J34" s="94">
        <f>+J33/2+J35/2</f>
        <v>0.86349999999999993</v>
      </c>
    </row>
    <row r="35" spans="3:10">
      <c r="C35" s="93">
        <v>0.8</v>
      </c>
      <c r="D35" s="94">
        <v>0.8</v>
      </c>
      <c r="E35" s="94">
        <f t="shared" si="3"/>
        <v>0.81499999999999995</v>
      </c>
      <c r="F35" s="94">
        <f t="shared" si="4"/>
        <v>0.82250000000000001</v>
      </c>
      <c r="G35" s="94">
        <v>0.83</v>
      </c>
      <c r="H35" s="94">
        <f t="shared" si="5"/>
        <v>0.83450000000000002</v>
      </c>
      <c r="I35" s="94">
        <f t="shared" si="6"/>
        <v>0.83899999999999997</v>
      </c>
      <c r="J35" s="94">
        <v>0.84799999999999998</v>
      </c>
    </row>
    <row r="36" spans="3:10">
      <c r="C36" s="93">
        <v>0.85</v>
      </c>
      <c r="D36" s="94">
        <f>+D35/2+D37/2</f>
        <v>0.77575000000000005</v>
      </c>
      <c r="E36" s="94">
        <f t="shared" si="3"/>
        <v>0.79174999999999995</v>
      </c>
      <c r="F36" s="94">
        <f t="shared" si="4"/>
        <v>0.79974999999999996</v>
      </c>
      <c r="G36" s="94">
        <f>+G35/2+G37/2</f>
        <v>0.80774999999999997</v>
      </c>
      <c r="H36" s="94">
        <f t="shared" si="5"/>
        <v>0.81262499999999993</v>
      </c>
      <c r="I36" s="94">
        <f t="shared" si="6"/>
        <v>0.8175</v>
      </c>
      <c r="J36" s="94">
        <f>+J35/2+J37/2</f>
        <v>0.82725000000000004</v>
      </c>
    </row>
    <row r="37" spans="3:10">
      <c r="C37" s="93">
        <v>0.9</v>
      </c>
      <c r="D37" s="94">
        <f>+D35/2+D39/2</f>
        <v>0.75150000000000006</v>
      </c>
      <c r="E37" s="94">
        <f t="shared" si="3"/>
        <v>0.76849999999999996</v>
      </c>
      <c r="F37" s="94">
        <f t="shared" si="4"/>
        <v>0.77699999999999991</v>
      </c>
      <c r="G37" s="94">
        <f>+G35/2+G39/2</f>
        <v>0.78549999999999998</v>
      </c>
      <c r="H37" s="94">
        <f t="shared" si="5"/>
        <v>0.79075000000000006</v>
      </c>
      <c r="I37" s="94">
        <f t="shared" si="6"/>
        <v>0.79600000000000004</v>
      </c>
      <c r="J37" s="94">
        <f>+J35/2+J39/2</f>
        <v>0.80649999999999999</v>
      </c>
    </row>
    <row r="38" spans="3:10">
      <c r="C38" s="93">
        <f>+C37/2+C39/2</f>
        <v>0.95</v>
      </c>
      <c r="D38" s="94">
        <f>+D37/2+D39/2</f>
        <v>0.72725000000000006</v>
      </c>
      <c r="E38" s="94">
        <f t="shared" si="3"/>
        <v>0.74524999999999997</v>
      </c>
      <c r="F38" s="94">
        <f t="shared" si="4"/>
        <v>0.75424999999999998</v>
      </c>
      <c r="G38" s="94">
        <f>+G37/2+G39/2</f>
        <v>0.76324999999999998</v>
      </c>
      <c r="H38" s="94">
        <f t="shared" si="5"/>
        <v>0.76887499999999998</v>
      </c>
      <c r="I38" s="94">
        <f t="shared" si="6"/>
        <v>0.77449999999999997</v>
      </c>
      <c r="J38" s="94">
        <f>+J37/2+J39/2</f>
        <v>0.78574999999999995</v>
      </c>
    </row>
    <row r="39" spans="3:10">
      <c r="C39" s="93">
        <v>1</v>
      </c>
      <c r="D39" s="94">
        <f>+D43/2+D35/2</f>
        <v>0.70300000000000007</v>
      </c>
      <c r="E39" s="94">
        <f t="shared" si="3"/>
        <v>0.72199999999999998</v>
      </c>
      <c r="F39" s="94">
        <f t="shared" si="4"/>
        <v>0.73150000000000004</v>
      </c>
      <c r="G39" s="94">
        <f>+G43/2+G35/2</f>
        <v>0.74099999999999999</v>
      </c>
      <c r="H39" s="94">
        <f t="shared" si="5"/>
        <v>0.747</v>
      </c>
      <c r="I39" s="94">
        <f t="shared" si="6"/>
        <v>0.753</v>
      </c>
      <c r="J39" s="94">
        <f>+J43/2+J35/2</f>
        <v>0.76500000000000001</v>
      </c>
    </row>
    <row r="40" spans="3:10">
      <c r="C40" s="93">
        <f>+C39/2+C41/2</f>
        <v>1.05</v>
      </c>
      <c r="D40" s="94">
        <f>+D39/2+D41/2</f>
        <v>0.67875000000000008</v>
      </c>
      <c r="E40" s="94">
        <f t="shared" si="3"/>
        <v>0.69874999999999998</v>
      </c>
      <c r="F40" s="94">
        <f t="shared" si="4"/>
        <v>0.70874999999999999</v>
      </c>
      <c r="G40" s="94">
        <f>+G39/2+G41/2</f>
        <v>0.71875</v>
      </c>
      <c r="H40" s="94">
        <f t="shared" si="5"/>
        <v>0.72512500000000002</v>
      </c>
      <c r="I40" s="94">
        <f t="shared" si="6"/>
        <v>0.73150000000000004</v>
      </c>
      <c r="J40" s="94">
        <f>+J39/2+J41/2</f>
        <v>0.74425000000000008</v>
      </c>
    </row>
    <row r="41" spans="3:10">
      <c r="C41" s="93">
        <v>1.1000000000000001</v>
      </c>
      <c r="D41" s="94">
        <f>+D39/2+D43/2</f>
        <v>0.65450000000000008</v>
      </c>
      <c r="E41" s="94">
        <f t="shared" si="3"/>
        <v>0.67549999999999999</v>
      </c>
      <c r="F41" s="94">
        <f t="shared" si="4"/>
        <v>0.68599999999999994</v>
      </c>
      <c r="G41" s="94">
        <f>+G39/2+G43/2</f>
        <v>0.69650000000000001</v>
      </c>
      <c r="H41" s="94">
        <f t="shared" si="5"/>
        <v>0.70324999999999993</v>
      </c>
      <c r="I41" s="94">
        <f t="shared" si="6"/>
        <v>0.71</v>
      </c>
      <c r="J41" s="94">
        <f>+J39/2+J43/2</f>
        <v>0.72350000000000003</v>
      </c>
    </row>
    <row r="42" spans="3:10">
      <c r="C42" s="93">
        <f>+C41/2+C43/2</f>
        <v>1.1499999999999999</v>
      </c>
      <c r="D42" s="94">
        <f>+D41/2+D43/2</f>
        <v>0.63024999999999998</v>
      </c>
      <c r="E42" s="94">
        <f t="shared" si="3"/>
        <v>0.65225</v>
      </c>
      <c r="F42" s="94">
        <f t="shared" si="4"/>
        <v>0.66325000000000001</v>
      </c>
      <c r="G42" s="94">
        <f>+G41/2+G43/2</f>
        <v>0.67425000000000002</v>
      </c>
      <c r="H42" s="94">
        <f t="shared" si="5"/>
        <v>0.68137500000000006</v>
      </c>
      <c r="I42" s="94">
        <f t="shared" si="6"/>
        <v>0.6885</v>
      </c>
      <c r="J42" s="94">
        <f>+J41/2+J43/2</f>
        <v>0.70274999999999999</v>
      </c>
    </row>
    <row r="43" spans="3:10">
      <c r="C43" s="93">
        <v>1.2</v>
      </c>
      <c r="D43" s="94">
        <v>0.60599999999999998</v>
      </c>
      <c r="E43" s="94">
        <f t="shared" si="3"/>
        <v>0.629</v>
      </c>
      <c r="F43" s="94">
        <f t="shared" si="4"/>
        <v>0.64050000000000007</v>
      </c>
      <c r="G43" s="94">
        <v>0.65200000000000002</v>
      </c>
      <c r="H43" s="94">
        <f t="shared" si="5"/>
        <v>0.65949999999999998</v>
      </c>
      <c r="I43" s="94">
        <f t="shared" si="6"/>
        <v>0.66700000000000004</v>
      </c>
      <c r="J43" s="94">
        <v>0.68200000000000005</v>
      </c>
    </row>
    <row r="44" spans="3:10">
      <c r="C44" s="93">
        <f>+C43/2+C45/2</f>
        <v>1.25</v>
      </c>
      <c r="D44" s="94">
        <f>+D43/2+D45/2</f>
        <v>0.58637499999999998</v>
      </c>
      <c r="E44" s="94">
        <f t="shared" si="3"/>
        <v>0.60943750000000008</v>
      </c>
      <c r="F44" s="94">
        <f t="shared" si="4"/>
        <v>0.62096875000000007</v>
      </c>
      <c r="G44" s="94">
        <f>+G43/2+G45/2</f>
        <v>0.63250000000000006</v>
      </c>
      <c r="H44" s="94">
        <f t="shared" si="5"/>
        <v>0.64018750000000013</v>
      </c>
      <c r="I44" s="94">
        <f t="shared" si="6"/>
        <v>0.64787500000000009</v>
      </c>
      <c r="J44" s="94">
        <f>+J43/2+J45/2</f>
        <v>0.66325000000000012</v>
      </c>
    </row>
    <row r="45" spans="3:10">
      <c r="C45" s="93">
        <v>1.3</v>
      </c>
      <c r="D45" s="94">
        <f>+D43/2+D47/2</f>
        <v>0.56674999999999998</v>
      </c>
      <c r="E45" s="94">
        <f t="shared" si="3"/>
        <v>0.58987499999999993</v>
      </c>
      <c r="F45" s="94">
        <f t="shared" si="4"/>
        <v>0.60143749999999996</v>
      </c>
      <c r="G45" s="94">
        <f>+G43/2+G47/2</f>
        <v>0.61299999999999999</v>
      </c>
      <c r="H45" s="94">
        <f t="shared" si="5"/>
        <v>0.62087500000000007</v>
      </c>
      <c r="I45" s="94">
        <f t="shared" si="6"/>
        <v>0.62875000000000003</v>
      </c>
      <c r="J45" s="94">
        <f>+J43/2+J47/2</f>
        <v>0.64450000000000007</v>
      </c>
    </row>
    <row r="46" spans="3:10">
      <c r="C46" s="93">
        <v>1.35</v>
      </c>
      <c r="D46" s="94">
        <f>+D45/2+D47/2</f>
        <v>0.54712499999999997</v>
      </c>
      <c r="E46" s="94">
        <f t="shared" ref="E46:J46" si="8">+E45/2+E47/2</f>
        <v>0.5703125</v>
      </c>
      <c r="F46" s="94">
        <f t="shared" si="8"/>
        <v>0.58190625000000007</v>
      </c>
      <c r="G46" s="94">
        <f t="shared" si="8"/>
        <v>0.59350000000000003</v>
      </c>
      <c r="H46" s="94">
        <f t="shared" si="8"/>
        <v>0.6015625</v>
      </c>
      <c r="I46" s="94">
        <f t="shared" si="8"/>
        <v>0.60962500000000008</v>
      </c>
      <c r="J46" s="94">
        <f t="shared" si="8"/>
        <v>0.62575000000000003</v>
      </c>
    </row>
    <row r="47" spans="3:10">
      <c r="C47" s="93">
        <v>1.4</v>
      </c>
      <c r="D47" s="94">
        <f>+D43/2+D51/2</f>
        <v>0.52749999999999997</v>
      </c>
      <c r="E47" s="94">
        <f t="shared" si="3"/>
        <v>0.55075000000000007</v>
      </c>
      <c r="F47" s="94">
        <f t="shared" si="4"/>
        <v>0.56237500000000007</v>
      </c>
      <c r="G47" s="94">
        <f>+G43/2+G51/2</f>
        <v>0.57400000000000007</v>
      </c>
      <c r="H47" s="94">
        <f t="shared" si="5"/>
        <v>0.58225000000000005</v>
      </c>
      <c r="I47" s="94">
        <f t="shared" si="6"/>
        <v>0.59050000000000002</v>
      </c>
      <c r="J47" s="94">
        <f>+J43/2+J51/2</f>
        <v>0.60699999999999998</v>
      </c>
    </row>
    <row r="48" spans="3:10">
      <c r="C48" s="93">
        <f>+C47/2+C49/2</f>
        <v>1.45</v>
      </c>
      <c r="D48" s="94">
        <f>+D47/2+D49/2</f>
        <v>0.50787499999999997</v>
      </c>
      <c r="E48" s="94">
        <f t="shared" si="3"/>
        <v>0.53118749999999992</v>
      </c>
      <c r="F48" s="94">
        <f t="shared" si="4"/>
        <v>0.54284374999999996</v>
      </c>
      <c r="G48" s="94">
        <f>+G47/2+G49/2</f>
        <v>0.55449999999999999</v>
      </c>
      <c r="H48" s="94">
        <f t="shared" si="5"/>
        <v>0.56293749999999998</v>
      </c>
      <c r="I48" s="94">
        <f t="shared" si="6"/>
        <v>0.57137499999999997</v>
      </c>
      <c r="J48" s="94">
        <f>+J47/2+J49/2</f>
        <v>0.58824999999999994</v>
      </c>
    </row>
    <row r="49" spans="3:10">
      <c r="C49" s="93">
        <v>1.5</v>
      </c>
      <c r="D49" s="94">
        <f>+D47/2+D51/2</f>
        <v>0.48824999999999996</v>
      </c>
      <c r="E49" s="94">
        <f t="shared" si="3"/>
        <v>0.511625</v>
      </c>
      <c r="F49" s="94">
        <f t="shared" si="4"/>
        <v>0.52331250000000007</v>
      </c>
      <c r="G49" s="94">
        <f>+G47/2+G51/2</f>
        <v>0.53500000000000003</v>
      </c>
      <c r="H49" s="94">
        <f t="shared" si="5"/>
        <v>0.54362500000000002</v>
      </c>
      <c r="I49" s="94">
        <f t="shared" si="6"/>
        <v>0.55225000000000002</v>
      </c>
      <c r="J49" s="94">
        <f>+J47/2+J51/2</f>
        <v>0.56950000000000001</v>
      </c>
    </row>
    <row r="50" spans="3:10">
      <c r="C50" s="93">
        <f>+C49/2+C51/2</f>
        <v>1.55</v>
      </c>
      <c r="D50" s="94">
        <f>+D49/2+D51/2</f>
        <v>0.46862499999999996</v>
      </c>
      <c r="E50" s="94">
        <f t="shared" si="3"/>
        <v>0.49206250000000001</v>
      </c>
      <c r="F50" s="94">
        <f t="shared" si="4"/>
        <v>0.50378125000000007</v>
      </c>
      <c r="G50" s="94">
        <f>+G49/2+G51/2</f>
        <v>0.51550000000000007</v>
      </c>
      <c r="H50" s="94">
        <f t="shared" si="5"/>
        <v>0.52431250000000007</v>
      </c>
      <c r="I50" s="94">
        <f t="shared" si="6"/>
        <v>0.53312500000000007</v>
      </c>
      <c r="J50" s="94">
        <f>+J49/2+J51/2</f>
        <v>0.55075000000000007</v>
      </c>
    </row>
    <row r="51" spans="3:10">
      <c r="C51" s="93">
        <v>1.6</v>
      </c>
      <c r="D51" s="94">
        <v>0.44900000000000001</v>
      </c>
      <c r="E51" s="94">
        <f t="shared" si="3"/>
        <v>0.47250000000000003</v>
      </c>
      <c r="F51" s="94">
        <f t="shared" si="4"/>
        <v>0.48425000000000001</v>
      </c>
      <c r="G51" s="94">
        <v>0.496</v>
      </c>
      <c r="H51" s="94">
        <f t="shared" si="5"/>
        <v>0.505</v>
      </c>
      <c r="I51" s="94">
        <f t="shared" si="6"/>
        <v>0.51400000000000001</v>
      </c>
      <c r="J51" s="94">
        <v>0.53200000000000003</v>
      </c>
    </row>
    <row r="52" spans="3:10">
      <c r="C52" s="93">
        <f>+C51/2+C53/2</f>
        <v>1.65</v>
      </c>
      <c r="D52" s="94">
        <f>+D51/2+D53/2</f>
        <v>0.43487500000000001</v>
      </c>
      <c r="E52" s="94">
        <f t="shared" si="3"/>
        <v>0.458125</v>
      </c>
      <c r="F52" s="94">
        <f t="shared" si="4"/>
        <v>0.46975</v>
      </c>
      <c r="G52" s="94">
        <f>+G51/2+G53/2</f>
        <v>0.481375</v>
      </c>
      <c r="H52" s="94">
        <f t="shared" si="5"/>
        <v>0.49034374999999997</v>
      </c>
      <c r="I52" s="94">
        <f t="shared" si="6"/>
        <v>0.49931249999999999</v>
      </c>
      <c r="J52" s="94">
        <f>+J51/2+J53/2</f>
        <v>0.51724999999999999</v>
      </c>
    </row>
    <row r="53" spans="3:10">
      <c r="C53" s="93">
        <v>1.7</v>
      </c>
      <c r="D53" s="94">
        <f>+D51/2+D55/2</f>
        <v>0.42075000000000001</v>
      </c>
      <c r="E53" s="94">
        <f t="shared" si="3"/>
        <v>0.44374999999999998</v>
      </c>
      <c r="F53" s="94">
        <f t="shared" si="4"/>
        <v>0.45524999999999999</v>
      </c>
      <c r="G53" s="94">
        <f>+G51/2+G55/2</f>
        <v>0.46675</v>
      </c>
      <c r="H53" s="94">
        <f t="shared" si="5"/>
        <v>0.47568749999999999</v>
      </c>
      <c r="I53" s="94">
        <f t="shared" si="6"/>
        <v>0.48462499999999997</v>
      </c>
      <c r="J53" s="94">
        <f>+J51/2+J55/2</f>
        <v>0.50249999999999995</v>
      </c>
    </row>
    <row r="54" spans="3:10">
      <c r="C54" s="93">
        <f>+C53/2+C55/2</f>
        <v>1.75</v>
      </c>
      <c r="D54" s="94">
        <f>+D53/2+D55/2</f>
        <v>0.40662500000000001</v>
      </c>
      <c r="E54" s="94">
        <f t="shared" si="3"/>
        <v>0.42937500000000001</v>
      </c>
      <c r="F54" s="94">
        <f t="shared" si="4"/>
        <v>0.44074999999999998</v>
      </c>
      <c r="G54" s="94">
        <f>+G53/2+G55/2</f>
        <v>0.452125</v>
      </c>
      <c r="H54" s="94">
        <f t="shared" si="5"/>
        <v>0.46103125</v>
      </c>
      <c r="I54" s="94">
        <f t="shared" si="6"/>
        <v>0.46993750000000001</v>
      </c>
      <c r="J54" s="94">
        <f>+J53/2+J55/2</f>
        <v>0.48774999999999996</v>
      </c>
    </row>
    <row r="55" spans="3:10">
      <c r="C55" s="93">
        <v>1.8</v>
      </c>
      <c r="D55" s="94">
        <f>+D51/2+D59/2</f>
        <v>0.39250000000000002</v>
      </c>
      <c r="E55" s="94">
        <f t="shared" si="3"/>
        <v>0.41500000000000004</v>
      </c>
      <c r="F55" s="94">
        <f t="shared" si="4"/>
        <v>0.42625000000000002</v>
      </c>
      <c r="G55" s="94">
        <f>+G51/2+G59/2</f>
        <v>0.4375</v>
      </c>
      <c r="H55" s="94">
        <f t="shared" si="5"/>
        <v>0.44637499999999997</v>
      </c>
      <c r="I55" s="94">
        <f t="shared" si="6"/>
        <v>0.45524999999999999</v>
      </c>
      <c r="J55" s="94">
        <f>+J51/2+J59/2</f>
        <v>0.47299999999999998</v>
      </c>
    </row>
    <row r="56" spans="3:10">
      <c r="C56" s="93">
        <f>+C55/2+C57/2</f>
        <v>1.85</v>
      </c>
      <c r="D56" s="94">
        <f>+D55/2+D57/2</f>
        <v>0.37837500000000002</v>
      </c>
      <c r="E56" s="94">
        <f t="shared" si="3"/>
        <v>0.40062500000000001</v>
      </c>
      <c r="F56" s="94">
        <f t="shared" si="4"/>
        <v>0.41175</v>
      </c>
      <c r="G56" s="94">
        <f>+G55/2+G57/2</f>
        <v>0.422875</v>
      </c>
      <c r="H56" s="94">
        <f t="shared" si="5"/>
        <v>0.43171874999999998</v>
      </c>
      <c r="I56" s="94">
        <f t="shared" si="6"/>
        <v>0.44056249999999997</v>
      </c>
      <c r="J56" s="94">
        <f>+J55/2+J57/2</f>
        <v>0.45824999999999999</v>
      </c>
    </row>
    <row r="57" spans="3:10">
      <c r="C57" s="93">
        <v>1.9</v>
      </c>
      <c r="D57" s="94">
        <f>+D55/2+D59/2</f>
        <v>0.36425000000000002</v>
      </c>
      <c r="E57" s="94">
        <f t="shared" si="3"/>
        <v>0.38624999999999998</v>
      </c>
      <c r="F57" s="94">
        <f t="shared" si="4"/>
        <v>0.39724999999999999</v>
      </c>
      <c r="G57" s="94">
        <f>+G55/2+G59/2</f>
        <v>0.40825</v>
      </c>
      <c r="H57" s="94">
        <f t="shared" si="5"/>
        <v>0.4170625</v>
      </c>
      <c r="I57" s="94">
        <f t="shared" si="6"/>
        <v>0.425875</v>
      </c>
      <c r="J57" s="94">
        <f>+J55/2+J59/2</f>
        <v>0.44350000000000001</v>
      </c>
    </row>
    <row r="58" spans="3:10">
      <c r="C58" s="93">
        <f>+C57/2+C59/2</f>
        <v>1.95</v>
      </c>
      <c r="D58" s="94">
        <f>+D57/2+D59/2</f>
        <v>0.35012500000000002</v>
      </c>
      <c r="E58" s="94">
        <f t="shared" si="3"/>
        <v>0.37187500000000001</v>
      </c>
      <c r="F58" s="94">
        <f t="shared" si="4"/>
        <v>0.38275000000000003</v>
      </c>
      <c r="G58" s="94">
        <f>+G57/2+G59/2</f>
        <v>0.393625</v>
      </c>
      <c r="H58" s="94">
        <f t="shared" si="5"/>
        <v>0.40240624999999997</v>
      </c>
      <c r="I58" s="94">
        <f t="shared" si="6"/>
        <v>0.41118749999999998</v>
      </c>
      <c r="J58" s="94">
        <f>+J57/2+J59/2</f>
        <v>0.42874999999999996</v>
      </c>
    </row>
    <row r="59" spans="3:10">
      <c r="C59" s="93">
        <v>2</v>
      </c>
      <c r="D59" s="94">
        <v>0.33600000000000002</v>
      </c>
      <c r="E59" s="94">
        <f t="shared" si="3"/>
        <v>0.35750000000000004</v>
      </c>
      <c r="F59" s="94">
        <f t="shared" si="4"/>
        <v>0.36825000000000002</v>
      </c>
      <c r="G59" s="94">
        <v>0.379</v>
      </c>
      <c r="H59" s="94">
        <f t="shared" si="5"/>
        <v>0.38774999999999998</v>
      </c>
      <c r="I59" s="94">
        <f t="shared" si="6"/>
        <v>0.39649999999999996</v>
      </c>
      <c r="J59" s="94">
        <v>0.41399999999999998</v>
      </c>
    </row>
    <row r="60" spans="3:10">
      <c r="C60" s="93">
        <f>+C59/2+C61/2</f>
        <v>2.0499999999999998</v>
      </c>
      <c r="D60" s="94">
        <f>+D59/2+D61/2</f>
        <v>0.326125</v>
      </c>
      <c r="E60" s="94">
        <f t="shared" si="3"/>
        <v>0.34725</v>
      </c>
      <c r="F60" s="94">
        <f t="shared" si="4"/>
        <v>0.35781249999999998</v>
      </c>
      <c r="G60" s="94">
        <f>+G59/2+G61/2</f>
        <v>0.36837500000000001</v>
      </c>
      <c r="H60" s="94">
        <f t="shared" si="5"/>
        <v>0.377</v>
      </c>
      <c r="I60" s="94">
        <f t="shared" si="6"/>
        <v>0.385625</v>
      </c>
      <c r="J60" s="94">
        <f>+J59/2+J61/2</f>
        <v>0.40287499999999998</v>
      </c>
    </row>
    <row r="61" spans="3:10">
      <c r="C61" s="93">
        <v>2.1</v>
      </c>
      <c r="D61" s="94">
        <f>+D59/2+D63/2</f>
        <v>0.31625000000000003</v>
      </c>
      <c r="E61" s="94">
        <f t="shared" si="3"/>
        <v>0.33700000000000002</v>
      </c>
      <c r="F61" s="94">
        <f t="shared" si="4"/>
        <v>0.34737499999999999</v>
      </c>
      <c r="G61" s="94">
        <f>+G59/2+G63/2</f>
        <v>0.35775000000000001</v>
      </c>
      <c r="H61" s="94">
        <f t="shared" si="5"/>
        <v>0.36625000000000002</v>
      </c>
      <c r="I61" s="94">
        <f t="shared" si="6"/>
        <v>0.37475000000000003</v>
      </c>
      <c r="J61" s="94">
        <f>+J59/2+J63/2</f>
        <v>0.39174999999999999</v>
      </c>
    </row>
    <row r="62" spans="3:10">
      <c r="C62" s="93">
        <v>2.15</v>
      </c>
      <c r="D62" s="94">
        <f>+D61/2+D63/2</f>
        <v>0.30637500000000001</v>
      </c>
      <c r="E62" s="94">
        <f t="shared" si="3"/>
        <v>0.32674999999999998</v>
      </c>
      <c r="F62" s="94">
        <f t="shared" si="4"/>
        <v>0.3369375</v>
      </c>
      <c r="G62" s="94">
        <f>+G61/2+G63/2</f>
        <v>0.34712500000000002</v>
      </c>
      <c r="H62" s="94">
        <f t="shared" si="5"/>
        <v>0.35550000000000004</v>
      </c>
      <c r="I62" s="94">
        <f t="shared" si="6"/>
        <v>0.363875</v>
      </c>
      <c r="J62" s="94">
        <f>+J61/2+J63/2</f>
        <v>0.38062499999999999</v>
      </c>
    </row>
    <row r="63" spans="3:10">
      <c r="C63" s="93">
        <v>2.2000000000000002</v>
      </c>
      <c r="D63" s="94">
        <f>+D59/2+D67/2</f>
        <v>0.29649999999999999</v>
      </c>
      <c r="E63" s="94">
        <f t="shared" si="3"/>
        <v>0.3165</v>
      </c>
      <c r="F63" s="94">
        <f t="shared" si="4"/>
        <v>0.32650000000000001</v>
      </c>
      <c r="G63" s="94">
        <f>+G59/2+G67/2</f>
        <v>0.33650000000000002</v>
      </c>
      <c r="H63" s="94">
        <f t="shared" si="5"/>
        <v>0.34475</v>
      </c>
      <c r="I63" s="94">
        <f t="shared" si="6"/>
        <v>0.35299999999999998</v>
      </c>
      <c r="J63" s="94">
        <f>+J59/2+J67/2</f>
        <v>0.3695</v>
      </c>
    </row>
    <row r="64" spans="3:10">
      <c r="C64" s="93">
        <f>+C63/2+C65/2</f>
        <v>2.25</v>
      </c>
      <c r="D64" s="94">
        <f>+D63/2+D65/2</f>
        <v>0.28662500000000002</v>
      </c>
      <c r="E64" s="94">
        <f t="shared" si="3"/>
        <v>0.30625000000000002</v>
      </c>
      <c r="F64" s="94">
        <f t="shared" si="4"/>
        <v>0.31606250000000002</v>
      </c>
      <c r="G64" s="94">
        <f>+G63/2+G65/2</f>
        <v>0.32587500000000003</v>
      </c>
      <c r="H64" s="94">
        <f t="shared" si="5"/>
        <v>0.33400000000000002</v>
      </c>
      <c r="I64" s="94">
        <f t="shared" si="6"/>
        <v>0.34212500000000001</v>
      </c>
      <c r="J64" s="94">
        <f>+J63/2+J65/2</f>
        <v>0.358375</v>
      </c>
    </row>
    <row r="65" spans="3:10">
      <c r="C65" s="93">
        <v>2.2999999999999998</v>
      </c>
      <c r="D65" s="94">
        <f>+D63/2+D67/2</f>
        <v>0.27675</v>
      </c>
      <c r="E65" s="94">
        <f t="shared" si="3"/>
        <v>0.29600000000000004</v>
      </c>
      <c r="F65" s="94">
        <f t="shared" si="4"/>
        <v>0.30562500000000004</v>
      </c>
      <c r="G65" s="94">
        <f>+G63/2+G67/2</f>
        <v>0.31525000000000003</v>
      </c>
      <c r="H65" s="94">
        <f t="shared" si="5"/>
        <v>0.32325000000000004</v>
      </c>
      <c r="I65" s="94">
        <f t="shared" si="6"/>
        <v>0.33125000000000004</v>
      </c>
      <c r="J65" s="94">
        <f>+J63/2+J67/2</f>
        <v>0.34725</v>
      </c>
    </row>
    <row r="66" spans="3:10">
      <c r="C66" s="93">
        <v>2.35</v>
      </c>
      <c r="D66" s="94">
        <f>+D65/2+D67/2</f>
        <v>0.26687499999999997</v>
      </c>
      <c r="E66" s="94">
        <f t="shared" si="3"/>
        <v>0.28575</v>
      </c>
      <c r="F66" s="94">
        <f t="shared" si="4"/>
        <v>0.29518750000000005</v>
      </c>
      <c r="G66" s="94">
        <f>+G65/2+G67/2</f>
        <v>0.30462500000000003</v>
      </c>
      <c r="H66" s="94">
        <f t="shared" si="5"/>
        <v>0.3125</v>
      </c>
      <c r="I66" s="94">
        <f t="shared" si="6"/>
        <v>0.32037500000000002</v>
      </c>
      <c r="J66" s="94">
        <f>+J65/2+J67/2</f>
        <v>0.33612500000000001</v>
      </c>
    </row>
    <row r="67" spans="3:10">
      <c r="C67" s="93">
        <v>2.4</v>
      </c>
      <c r="D67" s="94">
        <v>0.25700000000000001</v>
      </c>
      <c r="E67" s="94">
        <f t="shared" si="3"/>
        <v>0.27549999999999997</v>
      </c>
      <c r="F67" s="94">
        <f t="shared" si="4"/>
        <v>0.28474999999999995</v>
      </c>
      <c r="G67" s="94">
        <v>0.29399999999999998</v>
      </c>
      <c r="H67" s="94">
        <f t="shared" si="5"/>
        <v>0.30174999999999996</v>
      </c>
      <c r="I67" s="94">
        <f t="shared" si="6"/>
        <v>0.3095</v>
      </c>
      <c r="J67" s="94">
        <v>0.32500000000000001</v>
      </c>
    </row>
    <row r="68" spans="3:10">
      <c r="C68" s="93">
        <f>+C67/2+C69/2</f>
        <v>2.4500000000000002</v>
      </c>
      <c r="D68" s="94">
        <f>+D67/2+D69/2</f>
        <v>0.25</v>
      </c>
      <c r="E68" s="94">
        <f t="shared" si="3"/>
        <v>0.268125</v>
      </c>
      <c r="F68" s="94">
        <f t="shared" si="4"/>
        <v>0.27718750000000003</v>
      </c>
      <c r="G68" s="94">
        <f>+G67/2+G69/2</f>
        <v>0.28625</v>
      </c>
      <c r="H68" s="94">
        <f t="shared" si="5"/>
        <v>0.29390625000000004</v>
      </c>
      <c r="I68" s="94">
        <f t="shared" si="6"/>
        <v>0.30156250000000001</v>
      </c>
      <c r="J68" s="94">
        <f>+J67/2+J69/2</f>
        <v>0.31687500000000002</v>
      </c>
    </row>
    <row r="69" spans="3:10">
      <c r="C69" s="93">
        <v>2.5</v>
      </c>
      <c r="D69" s="94">
        <f>+D67/2+D71/2</f>
        <v>0.24299999999999999</v>
      </c>
      <c r="E69" s="94">
        <f t="shared" si="3"/>
        <v>0.26074999999999998</v>
      </c>
      <c r="F69" s="94">
        <f t="shared" si="4"/>
        <v>0.269625</v>
      </c>
      <c r="G69" s="94">
        <f>+G67/2+G71/2</f>
        <v>0.27849999999999997</v>
      </c>
      <c r="H69" s="94">
        <f t="shared" si="5"/>
        <v>0.2860625</v>
      </c>
      <c r="I69" s="94">
        <f t="shared" si="6"/>
        <v>0.29362499999999997</v>
      </c>
      <c r="J69" s="94">
        <f>+J67/2+J71/2</f>
        <v>0.30874999999999997</v>
      </c>
    </row>
    <row r="70" spans="3:10">
      <c r="C70" s="93">
        <f>+C69/2+C71/2</f>
        <v>2.5499999999999998</v>
      </c>
      <c r="D70" s="94">
        <f>+D69/2+D71/2</f>
        <v>0.23599999999999999</v>
      </c>
      <c r="E70" s="94">
        <f t="shared" si="3"/>
        <v>0.25337500000000002</v>
      </c>
      <c r="F70" s="94">
        <f t="shared" si="4"/>
        <v>0.26206249999999998</v>
      </c>
      <c r="G70" s="94">
        <f>+G69/2+G71/2</f>
        <v>0.27074999999999999</v>
      </c>
      <c r="H70" s="94">
        <f t="shared" si="5"/>
        <v>0.27821874999999996</v>
      </c>
      <c r="I70" s="94">
        <f t="shared" si="6"/>
        <v>0.28568749999999998</v>
      </c>
      <c r="J70" s="94">
        <f>+J69/2+J71/2</f>
        <v>0.30062499999999998</v>
      </c>
    </row>
    <row r="71" spans="3:10">
      <c r="C71" s="93">
        <v>2.6</v>
      </c>
      <c r="D71" s="94">
        <f>+D67/2+D75/2</f>
        <v>0.22900000000000001</v>
      </c>
      <c r="E71" s="94">
        <f t="shared" si="3"/>
        <v>0.246</v>
      </c>
      <c r="F71" s="94">
        <f t="shared" si="4"/>
        <v>0.2545</v>
      </c>
      <c r="G71" s="94">
        <f>+G67/2+G75/2</f>
        <v>0.26300000000000001</v>
      </c>
      <c r="H71" s="94">
        <f t="shared" si="5"/>
        <v>0.27037500000000003</v>
      </c>
      <c r="I71" s="94">
        <f t="shared" si="6"/>
        <v>0.27775</v>
      </c>
      <c r="J71" s="94">
        <f>+J67/2+J75/2</f>
        <v>0.29249999999999998</v>
      </c>
    </row>
    <row r="72" spans="3:10">
      <c r="C72" s="93">
        <v>2.65</v>
      </c>
      <c r="D72" s="94">
        <f>+D71/2+D73/2</f>
        <v>0.22200000000000003</v>
      </c>
      <c r="E72" s="94">
        <f t="shared" si="3"/>
        <v>0.238625</v>
      </c>
      <c r="F72" s="94">
        <f t="shared" si="4"/>
        <v>0.24693749999999998</v>
      </c>
      <c r="G72" s="94">
        <f>+G71/2+G73/2</f>
        <v>0.25524999999999998</v>
      </c>
      <c r="H72" s="94">
        <f t="shared" si="5"/>
        <v>0.26253124999999999</v>
      </c>
      <c r="I72" s="94">
        <f t="shared" si="6"/>
        <v>0.26981250000000001</v>
      </c>
      <c r="J72" s="94">
        <f>+J71/2+J73/2</f>
        <v>0.28437499999999999</v>
      </c>
    </row>
    <row r="73" spans="3:10">
      <c r="C73" s="93">
        <v>2.7</v>
      </c>
      <c r="D73" s="94">
        <f>+D71/2+D75/2</f>
        <v>0.21500000000000002</v>
      </c>
      <c r="E73" s="94">
        <f t="shared" si="3"/>
        <v>0.23125000000000001</v>
      </c>
      <c r="F73" s="94">
        <f t="shared" si="4"/>
        <v>0.239375</v>
      </c>
      <c r="G73" s="94">
        <f>+G71/2+G75/2</f>
        <v>0.2475</v>
      </c>
      <c r="H73" s="94">
        <f t="shared" si="5"/>
        <v>0.25468749999999996</v>
      </c>
      <c r="I73" s="94">
        <f t="shared" si="6"/>
        <v>0.26187499999999997</v>
      </c>
      <c r="J73" s="94">
        <f>+J71/2+J75/2</f>
        <v>0.27625</v>
      </c>
    </row>
    <row r="74" spans="3:10">
      <c r="C74" s="93">
        <f>+C73/2+C75/2</f>
        <v>2.75</v>
      </c>
      <c r="D74" s="94">
        <f>+D73/2+D75/2</f>
        <v>0.20800000000000002</v>
      </c>
      <c r="E74" s="94">
        <f t="shared" si="3"/>
        <v>0.22387500000000002</v>
      </c>
      <c r="F74" s="94">
        <f t="shared" si="4"/>
        <v>0.23181250000000003</v>
      </c>
      <c r="G74" s="94">
        <f>+G73/2+G75/2</f>
        <v>0.23975000000000002</v>
      </c>
      <c r="H74" s="94">
        <f t="shared" si="5"/>
        <v>0.24684375000000003</v>
      </c>
      <c r="I74" s="94">
        <f t="shared" si="6"/>
        <v>0.25393750000000004</v>
      </c>
      <c r="J74" s="94">
        <f>+J73/2+J75/2</f>
        <v>0.268125</v>
      </c>
    </row>
    <row r="75" spans="3:10">
      <c r="C75" s="93">
        <v>2.8</v>
      </c>
      <c r="D75" s="94">
        <v>0.20100000000000001</v>
      </c>
      <c r="E75" s="94">
        <f t="shared" si="3"/>
        <v>0.21650000000000003</v>
      </c>
      <c r="F75" s="94">
        <f t="shared" si="4"/>
        <v>0.22425</v>
      </c>
      <c r="G75" s="94">
        <v>0.23200000000000001</v>
      </c>
      <c r="H75" s="94">
        <f t="shared" si="5"/>
        <v>0.23899999999999999</v>
      </c>
      <c r="I75" s="94">
        <f t="shared" si="6"/>
        <v>0.246</v>
      </c>
      <c r="J75" s="94">
        <v>0.26</v>
      </c>
    </row>
    <row r="76" spans="3:10">
      <c r="C76" s="93">
        <v>2.85</v>
      </c>
      <c r="D76" s="94">
        <f>+D75/2+D77/2</f>
        <v>0.19587500000000002</v>
      </c>
      <c r="E76" s="94">
        <f t="shared" si="3"/>
        <v>0.21112500000000001</v>
      </c>
      <c r="F76" s="94">
        <f t="shared" si="4"/>
        <v>0.21875</v>
      </c>
      <c r="G76" s="94">
        <f>+G75/2+G77/2</f>
        <v>0.22637499999999999</v>
      </c>
      <c r="H76" s="94">
        <f t="shared" si="5"/>
        <v>0.23321875</v>
      </c>
      <c r="I76" s="94">
        <f t="shared" si="6"/>
        <v>0.24006250000000001</v>
      </c>
      <c r="J76" s="94">
        <f>+J75/2+J77/2</f>
        <v>0.25375000000000003</v>
      </c>
    </row>
    <row r="77" spans="3:10">
      <c r="C77" s="93">
        <v>2.9</v>
      </c>
      <c r="D77" s="94">
        <f>+D75/2+D79/2</f>
        <v>0.19075</v>
      </c>
      <c r="E77" s="94">
        <f t="shared" si="3"/>
        <v>0.20574999999999999</v>
      </c>
      <c r="F77" s="94">
        <f t="shared" si="4"/>
        <v>0.21325</v>
      </c>
      <c r="G77" s="94">
        <f>+G75/2+G79/2</f>
        <v>0.22075</v>
      </c>
      <c r="H77" s="94">
        <f t="shared" si="5"/>
        <v>0.22743750000000001</v>
      </c>
      <c r="I77" s="94">
        <f t="shared" si="6"/>
        <v>0.234125</v>
      </c>
      <c r="J77" s="94">
        <f>+J75/2+J79/2</f>
        <v>0.2475</v>
      </c>
    </row>
    <row r="78" spans="3:10">
      <c r="C78" s="93">
        <f>+C77/2+C79/2</f>
        <v>2.95</v>
      </c>
      <c r="D78" s="94">
        <f>+D77/2+D79/2</f>
        <v>0.18562499999999998</v>
      </c>
      <c r="E78" s="94">
        <f t="shared" si="3"/>
        <v>0.200375</v>
      </c>
      <c r="F78" s="94">
        <f t="shared" si="4"/>
        <v>0.20774999999999999</v>
      </c>
      <c r="G78" s="94">
        <f>+G77/2+G79/2</f>
        <v>0.21512500000000001</v>
      </c>
      <c r="H78" s="94">
        <f t="shared" si="5"/>
        <v>0.22165625</v>
      </c>
      <c r="I78" s="94">
        <f t="shared" si="6"/>
        <v>0.22818749999999999</v>
      </c>
      <c r="J78" s="94">
        <f>+J77/2+J79/2</f>
        <v>0.24124999999999999</v>
      </c>
    </row>
    <row r="79" spans="3:10">
      <c r="C79" s="93">
        <v>3</v>
      </c>
      <c r="D79" s="94">
        <f>+D75/2+D83/2</f>
        <v>0.18049999999999999</v>
      </c>
      <c r="E79" s="94">
        <f t="shared" si="3"/>
        <v>0.19500000000000001</v>
      </c>
      <c r="F79" s="94">
        <f t="shared" si="4"/>
        <v>0.20225000000000001</v>
      </c>
      <c r="G79" s="94">
        <f>+G75/2+G83/2</f>
        <v>0.20950000000000002</v>
      </c>
      <c r="H79" s="94">
        <f t="shared" si="5"/>
        <v>0.21587500000000001</v>
      </c>
      <c r="I79" s="94">
        <f t="shared" si="6"/>
        <v>0.22225</v>
      </c>
      <c r="J79" s="94">
        <f>+J75/2+J83/2</f>
        <v>0.23499999999999999</v>
      </c>
    </row>
    <row r="80" spans="3:10">
      <c r="C80" s="93">
        <f>+C79/2+C81/2</f>
        <v>3.05</v>
      </c>
      <c r="D80" s="94">
        <f>+D79/2+D81/2</f>
        <v>0.175375</v>
      </c>
      <c r="E80" s="94">
        <f t="shared" si="3"/>
        <v>0.18962500000000002</v>
      </c>
      <c r="F80" s="94">
        <f t="shared" si="4"/>
        <v>0.19675000000000004</v>
      </c>
      <c r="G80" s="94">
        <f>+G79/2+G81/2</f>
        <v>0.20387500000000003</v>
      </c>
      <c r="H80" s="94">
        <f t="shared" si="5"/>
        <v>0.21009375000000002</v>
      </c>
      <c r="I80" s="94">
        <f t="shared" si="6"/>
        <v>0.21631250000000002</v>
      </c>
      <c r="J80" s="94">
        <f>+J79/2+J81/2</f>
        <v>0.22874999999999998</v>
      </c>
    </row>
    <row r="81" spans="3:10">
      <c r="C81" s="93">
        <v>3.1</v>
      </c>
      <c r="D81" s="94">
        <f>+D79/2+D83/2</f>
        <v>0.17025000000000001</v>
      </c>
      <c r="E81" s="94">
        <f t="shared" si="3"/>
        <v>0.18425000000000002</v>
      </c>
      <c r="F81" s="94">
        <f t="shared" si="4"/>
        <v>0.19125000000000003</v>
      </c>
      <c r="G81" s="94">
        <f>+G79/2+G83/2</f>
        <v>0.19825000000000001</v>
      </c>
      <c r="H81" s="94">
        <f t="shared" si="5"/>
        <v>0.20431250000000001</v>
      </c>
      <c r="I81" s="94">
        <f t="shared" si="6"/>
        <v>0.21037499999999998</v>
      </c>
      <c r="J81" s="94">
        <f>+J79/2+J83/2</f>
        <v>0.22249999999999998</v>
      </c>
    </row>
    <row r="82" spans="3:10">
      <c r="C82" s="93">
        <v>3.15</v>
      </c>
      <c r="D82" s="94">
        <f>+D81/2+D83/2</f>
        <v>0.16512500000000002</v>
      </c>
      <c r="E82" s="94">
        <f t="shared" ref="E82:E115" si="9">+(D82+G82)/2</f>
        <v>0.17887500000000001</v>
      </c>
      <c r="F82" s="94">
        <f t="shared" ref="F82:F115" si="10">+E82/2+G82/2</f>
        <v>0.18575</v>
      </c>
      <c r="G82" s="94">
        <f>+G81/2+G83/2</f>
        <v>0.19262499999999999</v>
      </c>
      <c r="H82" s="94">
        <f t="shared" ref="H82:H115" si="11">+G82/2+I82/2</f>
        <v>0.19853124999999999</v>
      </c>
      <c r="I82" s="94">
        <f t="shared" ref="I82:I115" si="12">+G82/2+J82/2</f>
        <v>0.20443749999999999</v>
      </c>
      <c r="J82" s="94">
        <f>+J81/2+J83/2</f>
        <v>0.21625</v>
      </c>
    </row>
    <row r="83" spans="3:10">
      <c r="C83" s="93">
        <v>3.2</v>
      </c>
      <c r="D83" s="94">
        <v>0.16</v>
      </c>
      <c r="E83" s="94">
        <f t="shared" si="9"/>
        <v>0.17349999999999999</v>
      </c>
      <c r="F83" s="94">
        <f t="shared" si="10"/>
        <v>0.18024999999999999</v>
      </c>
      <c r="G83" s="94">
        <v>0.187</v>
      </c>
      <c r="H83" s="94">
        <f t="shared" si="11"/>
        <v>0.19275</v>
      </c>
      <c r="I83" s="94">
        <f t="shared" si="12"/>
        <v>0.19850000000000001</v>
      </c>
      <c r="J83" s="94">
        <v>0.21</v>
      </c>
    </row>
    <row r="84" spans="3:10">
      <c r="C84" s="93">
        <f>+C83/2+C85/2</f>
        <v>3.25</v>
      </c>
      <c r="D84" s="94">
        <f>+D83/2+D85/2</f>
        <v>0.15625</v>
      </c>
      <c r="E84" s="94">
        <f t="shared" si="9"/>
        <v>0.16949999999999998</v>
      </c>
      <c r="F84" s="94">
        <f t="shared" si="10"/>
        <v>0.17612499999999998</v>
      </c>
      <c r="G84" s="94">
        <f>+G83/2+G85/2</f>
        <v>0.18275</v>
      </c>
      <c r="H84" s="94">
        <f t="shared" si="11"/>
        <v>0.18840625</v>
      </c>
      <c r="I84" s="94">
        <f t="shared" si="12"/>
        <v>0.19406249999999997</v>
      </c>
      <c r="J84" s="94">
        <f>+J83/2+J85/2</f>
        <v>0.20537499999999997</v>
      </c>
    </row>
    <row r="85" spans="3:10">
      <c r="C85" s="93">
        <v>3.3</v>
      </c>
      <c r="D85" s="94">
        <f>+D83/2+D87/2</f>
        <v>0.15250000000000002</v>
      </c>
      <c r="E85" s="94">
        <f t="shared" si="9"/>
        <v>0.16550000000000001</v>
      </c>
      <c r="F85" s="94">
        <f t="shared" si="10"/>
        <v>0.17199999999999999</v>
      </c>
      <c r="G85" s="94">
        <f>+G83/2+G87/2</f>
        <v>0.17849999999999999</v>
      </c>
      <c r="H85" s="94">
        <f t="shared" si="11"/>
        <v>0.18406249999999999</v>
      </c>
      <c r="I85" s="94">
        <f t="shared" si="12"/>
        <v>0.18962499999999999</v>
      </c>
      <c r="J85" s="94">
        <f>+J83/2+J87/2</f>
        <v>0.20074999999999998</v>
      </c>
    </row>
    <row r="86" spans="3:10">
      <c r="C86" s="93">
        <v>3.35</v>
      </c>
      <c r="D86" s="94">
        <f>+D85/2+D87/2</f>
        <v>0.14875000000000002</v>
      </c>
      <c r="E86" s="94">
        <f t="shared" si="9"/>
        <v>0.1615</v>
      </c>
      <c r="F86" s="94">
        <f t="shared" si="10"/>
        <v>0.167875</v>
      </c>
      <c r="G86" s="94">
        <f>+G85/2+G87/2</f>
        <v>0.17424999999999999</v>
      </c>
      <c r="H86" s="94">
        <f t="shared" si="11"/>
        <v>0.17971874999999998</v>
      </c>
      <c r="I86" s="94">
        <f t="shared" si="12"/>
        <v>0.1851875</v>
      </c>
      <c r="J86" s="94">
        <f>+J85/2+J87/2</f>
        <v>0.19612499999999999</v>
      </c>
    </row>
    <row r="87" spans="3:10">
      <c r="C87" s="93">
        <v>3.4</v>
      </c>
      <c r="D87" s="94">
        <f>+D83/2+D91/2</f>
        <v>0.14500000000000002</v>
      </c>
      <c r="E87" s="94">
        <f t="shared" si="9"/>
        <v>0.1575</v>
      </c>
      <c r="F87" s="94">
        <f t="shared" si="10"/>
        <v>0.16375000000000001</v>
      </c>
      <c r="G87" s="94">
        <f>+G83/2+G91/2</f>
        <v>0.16999999999999998</v>
      </c>
      <c r="H87" s="94">
        <f t="shared" si="11"/>
        <v>0.175375</v>
      </c>
      <c r="I87" s="94">
        <f t="shared" si="12"/>
        <v>0.18074999999999999</v>
      </c>
      <c r="J87" s="94">
        <f>+J83/2+J91/2</f>
        <v>0.1915</v>
      </c>
    </row>
    <row r="88" spans="3:10">
      <c r="C88" s="93">
        <f>+C87/2+C89/2</f>
        <v>3.45</v>
      </c>
      <c r="D88" s="94">
        <f>+D87/2+D89/2</f>
        <v>0.14125000000000001</v>
      </c>
      <c r="E88" s="94">
        <f t="shared" si="9"/>
        <v>0.1535</v>
      </c>
      <c r="F88" s="94">
        <f t="shared" si="10"/>
        <v>0.15962499999999999</v>
      </c>
      <c r="G88" s="94">
        <f>+G87/2+G89/2</f>
        <v>0.16574999999999998</v>
      </c>
      <c r="H88" s="94">
        <f t="shared" si="11"/>
        <v>0.17103124999999997</v>
      </c>
      <c r="I88" s="94">
        <f t="shared" si="12"/>
        <v>0.17631249999999998</v>
      </c>
      <c r="J88" s="94">
        <f>+J87/2+J89/2</f>
        <v>0.18687500000000001</v>
      </c>
    </row>
    <row r="89" spans="3:10">
      <c r="C89" s="93">
        <v>3.5</v>
      </c>
      <c r="D89" s="94">
        <f>+D87/2+D91/2</f>
        <v>0.13750000000000001</v>
      </c>
      <c r="E89" s="94">
        <f t="shared" si="9"/>
        <v>0.14949999999999999</v>
      </c>
      <c r="F89" s="94">
        <f t="shared" si="10"/>
        <v>0.15549999999999997</v>
      </c>
      <c r="G89" s="94">
        <f>+G87/2+G91/2</f>
        <v>0.16149999999999998</v>
      </c>
      <c r="H89" s="94">
        <f t="shared" si="11"/>
        <v>0.16668749999999999</v>
      </c>
      <c r="I89" s="94">
        <f t="shared" si="12"/>
        <v>0.171875</v>
      </c>
      <c r="J89" s="94">
        <f>+J87/2+J91/2</f>
        <v>0.18225</v>
      </c>
    </row>
    <row r="90" spans="3:10">
      <c r="C90" s="93">
        <f>+C89/2+C91/2</f>
        <v>3.55</v>
      </c>
      <c r="D90" s="94">
        <f>+D89/2+D91/2</f>
        <v>0.13375000000000001</v>
      </c>
      <c r="E90" s="94">
        <f t="shared" si="9"/>
        <v>0.14550000000000002</v>
      </c>
      <c r="F90" s="94">
        <f t="shared" si="10"/>
        <v>0.15137500000000001</v>
      </c>
      <c r="G90" s="94">
        <f>+G89/2+G91/2</f>
        <v>0.15725</v>
      </c>
      <c r="H90" s="94">
        <f t="shared" si="11"/>
        <v>0.16234375000000001</v>
      </c>
      <c r="I90" s="94">
        <f t="shared" si="12"/>
        <v>0.16743749999999999</v>
      </c>
      <c r="J90" s="94">
        <f>+J89/2+J91/2</f>
        <v>0.17762499999999998</v>
      </c>
    </row>
    <row r="91" spans="3:10">
      <c r="C91" s="93">
        <v>3.6</v>
      </c>
      <c r="D91" s="94">
        <v>0.13</v>
      </c>
      <c r="E91" s="94">
        <f t="shared" si="9"/>
        <v>0.14150000000000001</v>
      </c>
      <c r="F91" s="94">
        <f t="shared" si="10"/>
        <v>0.14724999999999999</v>
      </c>
      <c r="G91" s="94">
        <v>0.153</v>
      </c>
      <c r="H91" s="94">
        <f t="shared" si="11"/>
        <v>0.15799999999999997</v>
      </c>
      <c r="I91" s="94">
        <f t="shared" si="12"/>
        <v>0.16299999999999998</v>
      </c>
      <c r="J91" s="94">
        <v>0.17299999999999999</v>
      </c>
    </row>
    <row r="92" spans="3:10">
      <c r="C92" s="93">
        <v>3.65</v>
      </c>
      <c r="D92" s="94">
        <f>+D91/2+D93/2</f>
        <v>0.12725</v>
      </c>
      <c r="E92" s="94">
        <f t="shared" si="9"/>
        <v>0.13850000000000001</v>
      </c>
      <c r="F92" s="94">
        <f t="shared" si="10"/>
        <v>0.144125</v>
      </c>
      <c r="G92" s="94">
        <f>+G91/2+G93/2</f>
        <v>0.14974999999999999</v>
      </c>
      <c r="H92" s="94">
        <f t="shared" si="11"/>
        <v>0.15468749999999998</v>
      </c>
      <c r="I92" s="94">
        <f t="shared" si="12"/>
        <v>0.15962499999999999</v>
      </c>
      <c r="J92" s="94">
        <f>+J91/2+J93/2</f>
        <v>0.16949999999999998</v>
      </c>
    </row>
    <row r="93" spans="3:10">
      <c r="C93" s="93">
        <v>3.7</v>
      </c>
      <c r="D93" s="94">
        <f>+D91/2+D95/2</f>
        <v>0.1245</v>
      </c>
      <c r="E93" s="94">
        <f t="shared" si="9"/>
        <v>0.13550000000000001</v>
      </c>
      <c r="F93" s="94">
        <f t="shared" si="10"/>
        <v>0.14100000000000001</v>
      </c>
      <c r="G93" s="94">
        <f>+G91/2+G95/2</f>
        <v>0.14650000000000002</v>
      </c>
      <c r="H93" s="94">
        <f t="shared" si="11"/>
        <v>0.15137500000000001</v>
      </c>
      <c r="I93" s="94">
        <f t="shared" si="12"/>
        <v>0.15625</v>
      </c>
      <c r="J93" s="94">
        <f>+J91/2+J95/2</f>
        <v>0.16599999999999998</v>
      </c>
    </row>
    <row r="94" spans="3:10">
      <c r="C94" s="93">
        <f>+C93/2+C95/2</f>
        <v>3.75</v>
      </c>
      <c r="D94" s="94">
        <f>+D93/2+D95/2</f>
        <v>0.12175</v>
      </c>
      <c r="E94" s="94">
        <f t="shared" si="9"/>
        <v>0.13250000000000001</v>
      </c>
      <c r="F94" s="94">
        <f t="shared" si="10"/>
        <v>0.13787500000000003</v>
      </c>
      <c r="G94" s="94">
        <f>+G93/2+G95/2</f>
        <v>0.14325000000000002</v>
      </c>
      <c r="H94" s="94">
        <f t="shared" si="11"/>
        <v>0.14806249999999999</v>
      </c>
      <c r="I94" s="94">
        <f t="shared" si="12"/>
        <v>0.15287499999999998</v>
      </c>
      <c r="J94" s="94">
        <f>+J93/2+J95/2</f>
        <v>0.16249999999999998</v>
      </c>
    </row>
    <row r="95" spans="3:10">
      <c r="C95" s="93">
        <v>3.8</v>
      </c>
      <c r="D95" s="94">
        <f>+D91/2+D99/2</f>
        <v>0.11899999999999999</v>
      </c>
      <c r="E95" s="94">
        <f t="shared" si="9"/>
        <v>0.1295</v>
      </c>
      <c r="F95" s="94">
        <f t="shared" si="10"/>
        <v>0.13475000000000001</v>
      </c>
      <c r="G95" s="94">
        <f>+G91/2+G99/2</f>
        <v>0.14000000000000001</v>
      </c>
      <c r="H95" s="94">
        <f t="shared" si="11"/>
        <v>0.14474999999999999</v>
      </c>
      <c r="I95" s="94">
        <f t="shared" si="12"/>
        <v>0.14949999999999999</v>
      </c>
      <c r="J95" s="94">
        <f>+J91/2+J99/2</f>
        <v>0.15899999999999997</v>
      </c>
    </row>
    <row r="96" spans="3:10">
      <c r="C96" s="93">
        <v>3.85</v>
      </c>
      <c r="D96" s="94">
        <f>+D95/2+D97/2</f>
        <v>0.11624999999999999</v>
      </c>
      <c r="E96" s="94">
        <f t="shared" si="9"/>
        <v>0.1265</v>
      </c>
      <c r="F96" s="94">
        <f t="shared" si="10"/>
        <v>0.13162499999999999</v>
      </c>
      <c r="G96" s="94">
        <f>+G95/2+G97/2</f>
        <v>0.13675000000000001</v>
      </c>
      <c r="H96" s="94">
        <f t="shared" si="11"/>
        <v>0.14143749999999999</v>
      </c>
      <c r="I96" s="94">
        <f t="shared" si="12"/>
        <v>0.146125</v>
      </c>
      <c r="J96" s="94">
        <f>+J95/2+J97/2</f>
        <v>0.15549999999999997</v>
      </c>
    </row>
    <row r="97" spans="3:10">
      <c r="C97" s="93">
        <v>3.9</v>
      </c>
      <c r="D97" s="94">
        <f>+D95/2+D99/2</f>
        <v>0.11349999999999999</v>
      </c>
      <c r="E97" s="94">
        <f t="shared" si="9"/>
        <v>0.1235</v>
      </c>
      <c r="F97" s="94">
        <f t="shared" si="10"/>
        <v>0.1285</v>
      </c>
      <c r="G97" s="94">
        <f>+G95/2+G99/2</f>
        <v>0.13350000000000001</v>
      </c>
      <c r="H97" s="94">
        <f t="shared" si="11"/>
        <v>0.138125</v>
      </c>
      <c r="I97" s="94">
        <f t="shared" si="12"/>
        <v>0.14274999999999999</v>
      </c>
      <c r="J97" s="94">
        <f>+J95/2+J99/2</f>
        <v>0.15199999999999997</v>
      </c>
    </row>
    <row r="98" spans="3:10">
      <c r="C98" s="93">
        <f>+C97/2+C99/2</f>
        <v>3.95</v>
      </c>
      <c r="D98" s="94">
        <f>+D97/2+D99/2</f>
        <v>0.11074999999999999</v>
      </c>
      <c r="E98" s="94">
        <f t="shared" si="9"/>
        <v>0.1205</v>
      </c>
      <c r="F98" s="94">
        <f t="shared" si="10"/>
        <v>0.12537500000000001</v>
      </c>
      <c r="G98" s="94">
        <f>+G97/2+G99/2</f>
        <v>0.13025</v>
      </c>
      <c r="H98" s="94">
        <f t="shared" si="11"/>
        <v>0.1348125</v>
      </c>
      <c r="I98" s="94">
        <f t="shared" si="12"/>
        <v>0.13937499999999997</v>
      </c>
      <c r="J98" s="94">
        <f>+J97/2+J99/2</f>
        <v>0.14849999999999997</v>
      </c>
    </row>
    <row r="99" spans="3:10">
      <c r="C99" s="93">
        <v>4</v>
      </c>
      <c r="D99" s="94">
        <v>0.108</v>
      </c>
      <c r="E99" s="94">
        <f t="shared" si="9"/>
        <v>0.11749999999999999</v>
      </c>
      <c r="F99" s="94">
        <f t="shared" si="10"/>
        <v>0.12225</v>
      </c>
      <c r="G99" s="94">
        <v>0.127</v>
      </c>
      <c r="H99" s="94">
        <f t="shared" si="11"/>
        <v>0.13150000000000001</v>
      </c>
      <c r="I99" s="94">
        <f t="shared" si="12"/>
        <v>0.13600000000000001</v>
      </c>
      <c r="J99" s="94">
        <v>0.14499999999999999</v>
      </c>
    </row>
    <row r="100" spans="3:10">
      <c r="C100" s="93">
        <f>+C99/2+C101/2</f>
        <v>4.05</v>
      </c>
      <c r="D100" s="94">
        <f>+D99/2+D101/2</f>
        <v>0.105875</v>
      </c>
      <c r="E100" s="94">
        <f t="shared" si="9"/>
        <v>0.1151875</v>
      </c>
      <c r="F100" s="94">
        <f t="shared" si="10"/>
        <v>0.11984375</v>
      </c>
      <c r="G100" s="94">
        <f>+G99/2+G101/2</f>
        <v>0.1245</v>
      </c>
      <c r="H100" s="94">
        <f t="shared" si="11"/>
        <v>0.12890625</v>
      </c>
      <c r="I100" s="94">
        <f t="shared" si="12"/>
        <v>0.1333125</v>
      </c>
      <c r="J100" s="94">
        <f>+J99/2+J101/2</f>
        <v>0.142125</v>
      </c>
    </row>
    <row r="101" spans="3:10">
      <c r="C101" s="93">
        <v>4.0999999999999996</v>
      </c>
      <c r="D101" s="94">
        <f>+D99/2+D103/2</f>
        <v>0.10375000000000001</v>
      </c>
      <c r="E101" s="94">
        <f t="shared" si="9"/>
        <v>0.112875</v>
      </c>
      <c r="F101" s="94">
        <f t="shared" si="10"/>
        <v>0.1174375</v>
      </c>
      <c r="G101" s="94">
        <f>+G99/2+G103/2</f>
        <v>0.122</v>
      </c>
      <c r="H101" s="94">
        <f t="shared" si="11"/>
        <v>0.12631249999999999</v>
      </c>
      <c r="I101" s="94">
        <f t="shared" si="12"/>
        <v>0.13062499999999999</v>
      </c>
      <c r="J101" s="94">
        <f>+J99/2+J103/2</f>
        <v>0.13924999999999998</v>
      </c>
    </row>
    <row r="102" spans="3:10">
      <c r="C102" s="93">
        <f>+C101/2+C103/2</f>
        <v>4.1500000000000004</v>
      </c>
      <c r="D102" s="94">
        <f>+D101/2+D103/2</f>
        <v>0.10162500000000001</v>
      </c>
      <c r="E102" s="94">
        <f t="shared" si="9"/>
        <v>0.11056250000000001</v>
      </c>
      <c r="F102" s="94">
        <f t="shared" si="10"/>
        <v>0.11503125</v>
      </c>
      <c r="G102" s="94">
        <f>+G101/2+G103/2</f>
        <v>0.1195</v>
      </c>
      <c r="H102" s="94">
        <f t="shared" si="11"/>
        <v>0.12371874999999999</v>
      </c>
      <c r="I102" s="94">
        <f t="shared" si="12"/>
        <v>0.12793749999999998</v>
      </c>
      <c r="J102" s="94">
        <f>+J101/2+J103/2</f>
        <v>0.136375</v>
      </c>
    </row>
    <row r="103" spans="3:10">
      <c r="C103" s="93">
        <v>4.2</v>
      </c>
      <c r="D103" s="94">
        <f>+D99/2+D107/2</f>
        <v>9.9500000000000005E-2</v>
      </c>
      <c r="E103" s="94">
        <f t="shared" si="9"/>
        <v>0.10825</v>
      </c>
      <c r="F103" s="94">
        <f t="shared" si="10"/>
        <v>0.112625</v>
      </c>
      <c r="G103" s="94">
        <f>+G99/2+G107/2</f>
        <v>0.11699999999999999</v>
      </c>
      <c r="H103" s="94">
        <f t="shared" si="11"/>
        <v>0.121125</v>
      </c>
      <c r="I103" s="94">
        <f t="shared" si="12"/>
        <v>0.12525</v>
      </c>
      <c r="J103" s="94">
        <f>+J99/2+J107/2</f>
        <v>0.13350000000000001</v>
      </c>
    </row>
    <row r="104" spans="3:10">
      <c r="C104" s="93">
        <f>+C103/2+C105/2</f>
        <v>4.25</v>
      </c>
      <c r="D104" s="94">
        <f>+D103/2+D105/2</f>
        <v>9.7375000000000003E-2</v>
      </c>
      <c r="E104" s="94">
        <f t="shared" si="9"/>
        <v>0.10593749999999999</v>
      </c>
      <c r="F104" s="94">
        <f t="shared" si="10"/>
        <v>0.11021874999999999</v>
      </c>
      <c r="G104" s="94">
        <f>+G103/2+G105/2</f>
        <v>0.11449999999999999</v>
      </c>
      <c r="H104" s="94">
        <f t="shared" si="11"/>
        <v>0.11853124999999999</v>
      </c>
      <c r="I104" s="94">
        <f t="shared" si="12"/>
        <v>0.12256249999999999</v>
      </c>
      <c r="J104" s="94">
        <f>+J103/2+J105/2</f>
        <v>0.13062499999999999</v>
      </c>
    </row>
    <row r="105" spans="3:10">
      <c r="C105" s="93">
        <v>4.3</v>
      </c>
      <c r="D105" s="94">
        <f>+D103/2+D107/2</f>
        <v>9.5250000000000001E-2</v>
      </c>
      <c r="E105" s="94">
        <f t="shared" si="9"/>
        <v>0.10362499999999999</v>
      </c>
      <c r="F105" s="94">
        <f t="shared" si="10"/>
        <v>0.10781249999999999</v>
      </c>
      <c r="G105" s="94">
        <f>+G103/2+G107/2</f>
        <v>0.11199999999999999</v>
      </c>
      <c r="H105" s="94">
        <f t="shared" si="11"/>
        <v>0.1159375</v>
      </c>
      <c r="I105" s="94">
        <f t="shared" si="12"/>
        <v>0.119875</v>
      </c>
      <c r="J105" s="94">
        <f>+J103/2+J107/2</f>
        <v>0.12775</v>
      </c>
    </row>
    <row r="106" spans="3:10">
      <c r="C106" s="93">
        <f>+C105/2+C107/2</f>
        <v>4.3499999999999996</v>
      </c>
      <c r="D106" s="94">
        <f>+D105/2+D107/2</f>
        <v>9.3124999999999999E-2</v>
      </c>
      <c r="E106" s="94">
        <f t="shared" si="9"/>
        <v>0.1013125</v>
      </c>
      <c r="F106" s="94">
        <f t="shared" si="10"/>
        <v>0.10540624999999999</v>
      </c>
      <c r="G106" s="94">
        <f>+G105/2+G107/2</f>
        <v>0.10949999999999999</v>
      </c>
      <c r="H106" s="94">
        <f t="shared" si="11"/>
        <v>0.11334374999999999</v>
      </c>
      <c r="I106" s="94">
        <f t="shared" si="12"/>
        <v>0.1171875</v>
      </c>
      <c r="J106" s="94">
        <f>+J105/2+J107/2</f>
        <v>0.124875</v>
      </c>
    </row>
    <row r="107" spans="3:10">
      <c r="C107" s="93">
        <v>4.4000000000000004</v>
      </c>
      <c r="D107" s="94">
        <v>9.0999999999999998E-2</v>
      </c>
      <c r="E107" s="94">
        <f t="shared" si="9"/>
        <v>9.9000000000000005E-2</v>
      </c>
      <c r="F107" s="94">
        <f t="shared" si="10"/>
        <v>0.10300000000000001</v>
      </c>
      <c r="G107" s="94">
        <v>0.107</v>
      </c>
      <c r="H107" s="94">
        <f t="shared" si="11"/>
        <v>0.11074999999999999</v>
      </c>
      <c r="I107" s="94">
        <f t="shared" si="12"/>
        <v>0.11449999999999999</v>
      </c>
      <c r="J107" s="94">
        <v>0.122</v>
      </c>
    </row>
    <row r="108" spans="3:10">
      <c r="C108" s="93">
        <f>+C107/2+C109/2</f>
        <v>4.45</v>
      </c>
      <c r="D108" s="94">
        <f>+D107/2+D109/2</f>
        <v>8.9249999999999996E-2</v>
      </c>
      <c r="E108" s="94">
        <f t="shared" si="9"/>
        <v>9.7187499999999996E-2</v>
      </c>
      <c r="F108" s="94">
        <f t="shared" si="10"/>
        <v>0.10115625</v>
      </c>
      <c r="G108" s="94">
        <f>+G107/2+G109/2</f>
        <v>0.105125</v>
      </c>
      <c r="H108" s="94">
        <f t="shared" si="11"/>
        <v>0.10881249999999999</v>
      </c>
      <c r="I108" s="94">
        <f t="shared" si="12"/>
        <v>0.11249999999999999</v>
      </c>
      <c r="J108" s="94">
        <f>+J107/2+J109/2</f>
        <v>0.119875</v>
      </c>
    </row>
    <row r="109" spans="3:10">
      <c r="C109" s="93">
        <v>4.5</v>
      </c>
      <c r="D109" s="94">
        <f>+D107/2+D111/2</f>
        <v>8.7499999999999994E-2</v>
      </c>
      <c r="E109" s="94">
        <f t="shared" si="9"/>
        <v>9.5375000000000001E-2</v>
      </c>
      <c r="F109" s="94">
        <f t="shared" si="10"/>
        <v>9.9312499999999998E-2</v>
      </c>
      <c r="G109" s="94">
        <f>+G107/2+G111/2</f>
        <v>0.10325000000000001</v>
      </c>
      <c r="H109" s="94">
        <f t="shared" si="11"/>
        <v>0.106875</v>
      </c>
      <c r="I109" s="94">
        <f t="shared" si="12"/>
        <v>0.1105</v>
      </c>
      <c r="J109" s="94">
        <f>+J107/2+J111/2</f>
        <v>0.11774999999999999</v>
      </c>
    </row>
    <row r="110" spans="3:10">
      <c r="C110" s="93">
        <f>+C109/2+C111/2</f>
        <v>4.55</v>
      </c>
      <c r="D110" s="94">
        <f>+D109/2+D111/2</f>
        <v>8.5749999999999993E-2</v>
      </c>
      <c r="E110" s="94">
        <f t="shared" si="9"/>
        <v>9.3562499999999993E-2</v>
      </c>
      <c r="F110" s="94">
        <f t="shared" si="10"/>
        <v>9.7468749999999993E-2</v>
      </c>
      <c r="G110" s="94">
        <f>+G109/2+G111/2</f>
        <v>0.10137500000000001</v>
      </c>
      <c r="H110" s="94">
        <f t="shared" si="11"/>
        <v>0.1049375</v>
      </c>
      <c r="I110" s="94">
        <f t="shared" si="12"/>
        <v>0.1085</v>
      </c>
      <c r="J110" s="94">
        <f>+J109/2+J111/2</f>
        <v>0.11562499999999999</v>
      </c>
    </row>
    <row r="111" spans="3:10">
      <c r="C111" s="93">
        <v>4.5999999999999996</v>
      </c>
      <c r="D111" s="94">
        <f>+D107/2+D115/2</f>
        <v>8.3999999999999991E-2</v>
      </c>
      <c r="E111" s="94">
        <f t="shared" si="9"/>
        <v>9.1749999999999998E-2</v>
      </c>
      <c r="F111" s="94">
        <f t="shared" si="10"/>
        <v>9.5625000000000002E-2</v>
      </c>
      <c r="G111" s="94">
        <f>+G107/2+G115/2</f>
        <v>9.9500000000000005E-2</v>
      </c>
      <c r="H111" s="94">
        <f t="shared" si="11"/>
        <v>0.10300000000000001</v>
      </c>
      <c r="I111" s="94">
        <f t="shared" si="12"/>
        <v>0.1065</v>
      </c>
      <c r="J111" s="94">
        <f>+J107/2+J115/2</f>
        <v>0.11349999999999999</v>
      </c>
    </row>
    <row r="112" spans="3:10">
      <c r="C112" s="93">
        <f>+C111/2+C113/2</f>
        <v>4.6500000000000004</v>
      </c>
      <c r="D112" s="94">
        <f>+D111/2+D113/2</f>
        <v>8.224999999999999E-2</v>
      </c>
      <c r="E112" s="94">
        <f t="shared" si="9"/>
        <v>8.9937500000000004E-2</v>
      </c>
      <c r="F112" s="94">
        <f t="shared" si="10"/>
        <v>9.378125000000001E-2</v>
      </c>
      <c r="G112" s="94">
        <f>+G111/2+G113/2</f>
        <v>9.7625000000000003E-2</v>
      </c>
      <c r="H112" s="94">
        <f t="shared" si="11"/>
        <v>0.1010625</v>
      </c>
      <c r="I112" s="94">
        <f t="shared" si="12"/>
        <v>0.1045</v>
      </c>
      <c r="J112" s="94">
        <f>+J111/2+J113/2</f>
        <v>0.11137499999999999</v>
      </c>
    </row>
    <row r="113" spans="1:21">
      <c r="C113" s="93">
        <v>4.7</v>
      </c>
      <c r="D113" s="94">
        <f>+D111/2+D115/2</f>
        <v>8.0499999999999988E-2</v>
      </c>
      <c r="E113" s="94">
        <f t="shared" si="9"/>
        <v>8.8124999999999995E-2</v>
      </c>
      <c r="F113" s="94">
        <f t="shared" si="10"/>
        <v>9.1937500000000005E-2</v>
      </c>
      <c r="G113" s="94">
        <f>+G111/2+G115/2</f>
        <v>9.5750000000000002E-2</v>
      </c>
      <c r="H113" s="94">
        <f t="shared" si="11"/>
        <v>9.9124999999999991E-2</v>
      </c>
      <c r="I113" s="94">
        <f t="shared" si="12"/>
        <v>0.10249999999999999</v>
      </c>
      <c r="J113" s="94">
        <f>+J111/2+J115/2</f>
        <v>0.10924999999999999</v>
      </c>
    </row>
    <row r="114" spans="1:21">
      <c r="C114" s="93">
        <f>+C113/2+C115/2</f>
        <v>4.75</v>
      </c>
      <c r="D114" s="94">
        <f>+D113/2+D115/2</f>
        <v>7.8749999999999987E-2</v>
      </c>
      <c r="E114" s="94">
        <f t="shared" si="9"/>
        <v>8.6312499999999986E-2</v>
      </c>
      <c r="F114" s="94">
        <f t="shared" si="10"/>
        <v>9.009375E-2</v>
      </c>
      <c r="G114" s="94">
        <f>+G113/2+G115/2</f>
        <v>9.3875E-2</v>
      </c>
      <c r="H114" s="94">
        <f t="shared" si="11"/>
        <v>9.718750000000001E-2</v>
      </c>
      <c r="I114" s="94">
        <f t="shared" si="12"/>
        <v>0.10050000000000001</v>
      </c>
      <c r="J114" s="94">
        <f>+J113/2+J115/2</f>
        <v>0.107125</v>
      </c>
    </row>
    <row r="115" spans="1:21">
      <c r="C115" s="101">
        <v>4.8</v>
      </c>
      <c r="D115" s="102">
        <v>7.6999999999999999E-2</v>
      </c>
      <c r="E115" s="102">
        <f t="shared" si="9"/>
        <v>8.4499999999999992E-2</v>
      </c>
      <c r="F115" s="94">
        <f t="shared" si="10"/>
        <v>8.8249999999999995E-2</v>
      </c>
      <c r="G115" s="102">
        <v>9.1999999999999998E-2</v>
      </c>
      <c r="H115" s="94">
        <f t="shared" si="11"/>
        <v>9.5250000000000001E-2</v>
      </c>
      <c r="I115" s="94">
        <f t="shared" si="12"/>
        <v>9.8500000000000004E-2</v>
      </c>
      <c r="J115" s="102">
        <v>0.105</v>
      </c>
    </row>
    <row r="116" spans="1:21">
      <c r="C116" s="103"/>
      <c r="D116" s="104"/>
      <c r="E116" s="104"/>
      <c r="F116" s="104"/>
      <c r="G116" s="104"/>
      <c r="H116" s="104"/>
      <c r="I116" s="104"/>
      <c r="J116" s="104"/>
    </row>
    <row r="117" spans="1:21" ht="13.5" thickBot="1"/>
    <row r="118" spans="1:21" ht="15.5" thickBot="1">
      <c r="A118" s="105"/>
      <c r="B118" s="106"/>
      <c r="C118" s="63"/>
      <c r="D118" s="63"/>
      <c r="E118" s="63"/>
      <c r="F118" s="63"/>
      <c r="G118" s="63"/>
      <c r="H118" s="63"/>
      <c r="I118" s="63"/>
      <c r="J118" s="63"/>
      <c r="K118" s="358"/>
      <c r="L118" s="358"/>
      <c r="M118" s="358"/>
      <c r="N118" s="358"/>
      <c r="O118" s="358"/>
      <c r="P118" s="358"/>
      <c r="Q118" s="358"/>
      <c r="R118" s="63"/>
      <c r="S118" s="63"/>
      <c r="T118" s="63"/>
      <c r="U118" s="107"/>
    </row>
    <row r="119" spans="1:21">
      <c r="A119" s="108"/>
      <c r="B119" s="109"/>
      <c r="C119" s="3"/>
      <c r="D119" s="110"/>
      <c r="E119" s="3"/>
      <c r="F119" s="3"/>
      <c r="G119" s="111" t="s">
        <v>426</v>
      </c>
      <c r="H119" s="112"/>
      <c r="I119" s="3"/>
      <c r="J119" s="3"/>
      <c r="R119" s="3"/>
      <c r="S119" s="3"/>
      <c r="T119" s="3"/>
      <c r="U119" s="113"/>
    </row>
    <row r="120" spans="1:21" ht="13.5" thickBot="1">
      <c r="A120" s="108"/>
      <c r="B120" s="109" t="s">
        <v>428</v>
      </c>
      <c r="C120" s="3"/>
      <c r="D120" s="114" t="e">
        <f>+C121&amp;" - "&amp;C122&amp;" x "&amp;E122</f>
        <v>#REF!</v>
      </c>
      <c r="E120" s="3"/>
      <c r="F120" s="115"/>
      <c r="G120" s="116" t="e">
        <f>+#REF!</f>
        <v>#REF!</v>
      </c>
      <c r="H120" s="117" t="e">
        <f>+#REF!</f>
        <v>#REF!</v>
      </c>
      <c r="I120" s="3"/>
      <c r="J120" s="3"/>
      <c r="R120" s="3"/>
      <c r="S120" s="3"/>
      <c r="T120" s="3"/>
      <c r="U120" s="113"/>
    </row>
    <row r="121" spans="1:21" ht="13.5" thickBot="1">
      <c r="A121" s="108"/>
      <c r="B121" s="118" t="s">
        <v>288</v>
      </c>
      <c r="C121" s="119" t="e">
        <f>+#REF!</f>
        <v>#REF!</v>
      </c>
      <c r="D121" s="120" t="s">
        <v>34</v>
      </c>
      <c r="E121" s="121" t="e">
        <f>+C121</f>
        <v>#REF!</v>
      </c>
      <c r="F121" s="122" t="s">
        <v>0</v>
      </c>
      <c r="I121" s="3"/>
      <c r="J121" s="3"/>
      <c r="R121" s="3"/>
      <c r="S121" s="115"/>
      <c r="T121" s="123"/>
      <c r="U121" s="113"/>
    </row>
    <row r="122" spans="1:21" ht="13.5" thickBot="1">
      <c r="A122" s="108"/>
      <c r="B122" s="124"/>
      <c r="C122" s="119" t="e">
        <f>+#REF!</f>
        <v>#REF!</v>
      </c>
      <c r="D122" s="120" t="s">
        <v>34</v>
      </c>
      <c r="E122" s="125" t="e">
        <f>+#REF!</f>
        <v>#REF!</v>
      </c>
      <c r="F122" s="126" t="s">
        <v>0</v>
      </c>
      <c r="J122" s="3"/>
      <c r="R122" s="3"/>
      <c r="S122" s="3"/>
      <c r="T122" s="3"/>
      <c r="U122" s="127"/>
    </row>
    <row r="123" spans="1:21" ht="13.5" thickBot="1">
      <c r="A123" s="108"/>
      <c r="B123" s="128"/>
      <c r="C123" s="119" t="e">
        <f>+#REF!</f>
        <v>#REF!</v>
      </c>
      <c r="D123" s="120" t="s">
        <v>34</v>
      </c>
      <c r="E123" s="125" t="e">
        <f>+C123</f>
        <v>#REF!</v>
      </c>
      <c r="F123" s="129" t="s">
        <v>0</v>
      </c>
      <c r="G123" s="130" t="s">
        <v>427</v>
      </c>
      <c r="H123" s="130" t="s">
        <v>292</v>
      </c>
      <c r="J123" s="3"/>
      <c r="R123" s="3"/>
      <c r="S123" s="3"/>
      <c r="T123" s="3"/>
      <c r="U123" s="131"/>
    </row>
    <row r="124" spans="1:21" ht="13.5">
      <c r="A124" s="108"/>
      <c r="B124" s="132" t="s">
        <v>429</v>
      </c>
      <c r="C124" s="133" t="e">
        <f>+#REF!</f>
        <v>#REF!</v>
      </c>
      <c r="D124" s="29" t="s">
        <v>0</v>
      </c>
      <c r="E124" s="134" t="s">
        <v>447</v>
      </c>
      <c r="F124" s="135"/>
      <c r="G124" s="136" t="s">
        <v>295</v>
      </c>
      <c r="H124" s="137" t="s">
        <v>296</v>
      </c>
      <c r="I124" s="3"/>
      <c r="J124" s="3"/>
      <c r="R124" s="3"/>
      <c r="S124" s="3"/>
      <c r="T124" s="3"/>
      <c r="U124" s="138"/>
    </row>
    <row r="125" spans="1:21">
      <c r="A125" s="108"/>
      <c r="B125" s="139" t="s">
        <v>430</v>
      </c>
      <c r="C125" s="140" t="e">
        <f>+#REF!</f>
        <v>#REF!</v>
      </c>
      <c r="D125" s="80" t="s">
        <v>0</v>
      </c>
      <c r="E125" s="141" t="s">
        <v>298</v>
      </c>
      <c r="F125" s="80" t="s">
        <v>299</v>
      </c>
      <c r="G125" s="139" t="e">
        <f>+IF(G120&lt;=85,G120*3/1000,IF(G120&lt;=125,G120*2/1000,G120/1000))</f>
        <v>#REF!</v>
      </c>
      <c r="H125" s="142" t="e">
        <f>+IF(H120&lt;=85,H120*3/1000,IF(H120&lt;=125,H120*2/1000,H120/1000))</f>
        <v>#REF!</v>
      </c>
      <c r="I125" s="3"/>
      <c r="J125" s="3"/>
      <c r="R125" s="3"/>
      <c r="S125" s="3"/>
      <c r="T125" s="3"/>
      <c r="U125" s="113"/>
    </row>
    <row r="126" spans="1:21">
      <c r="A126" s="108"/>
      <c r="B126" s="139" t="s">
        <v>431</v>
      </c>
      <c r="C126" s="140" t="e">
        <f>+#REF!</f>
        <v>#REF!</v>
      </c>
      <c r="D126" s="80" t="s">
        <v>0</v>
      </c>
      <c r="E126" s="141"/>
      <c r="F126" s="80" t="s">
        <v>301</v>
      </c>
      <c r="G126" s="139" t="e">
        <f>+G125</f>
        <v>#REF!</v>
      </c>
      <c r="H126" s="142" t="e">
        <f>+H125</f>
        <v>#REF!</v>
      </c>
      <c r="I126" s="2"/>
      <c r="J126" s="3"/>
      <c r="R126" s="3"/>
      <c r="S126" s="3"/>
      <c r="T126" s="3"/>
      <c r="U126" s="113"/>
    </row>
    <row r="127" spans="1:21">
      <c r="A127" s="108"/>
      <c r="B127" s="139" t="s">
        <v>432</v>
      </c>
      <c r="C127" s="364" t="e">
        <f>+#REF!</f>
        <v>#REF!</v>
      </c>
      <c r="D127" s="142" t="s">
        <v>0</v>
      </c>
      <c r="E127" s="143"/>
      <c r="F127" s="11"/>
      <c r="G127" s="144" t="e">
        <f>+IF(G120&lt;=125,1,0)</f>
        <v>#REF!</v>
      </c>
      <c r="H127" s="145" t="e">
        <f>+IF(H120&lt;=125,1,0)</f>
        <v>#REF!</v>
      </c>
      <c r="I127" s="2"/>
      <c r="J127" s="3"/>
      <c r="R127" s="3"/>
      <c r="S127" s="3"/>
      <c r="T127" s="3"/>
      <c r="U127" s="113"/>
    </row>
    <row r="128" spans="1:21" ht="13.5" thickBot="1">
      <c r="A128" s="108"/>
      <c r="B128" s="139" t="s">
        <v>433</v>
      </c>
      <c r="C128" s="140" t="e">
        <f>+#REF!</f>
        <v>#REF!</v>
      </c>
      <c r="D128" s="142" t="s">
        <v>0</v>
      </c>
      <c r="G128" s="146" t="e">
        <f>+IF(G120&lt;=85,1,0)</f>
        <v>#REF!</v>
      </c>
      <c r="H128" s="147" t="e">
        <f>+IF(H120&lt;=85,1,0)</f>
        <v>#REF!</v>
      </c>
      <c r="I128" s="3"/>
      <c r="J128" s="3"/>
      <c r="R128" s="3"/>
      <c r="S128" s="3"/>
      <c r="T128" s="3"/>
      <c r="U128" s="113"/>
    </row>
    <row r="129" spans="1:21">
      <c r="A129" s="108"/>
      <c r="B129" s="139" t="s">
        <v>434</v>
      </c>
      <c r="C129" s="140">
        <v>0.4</v>
      </c>
      <c r="D129" s="142" t="s">
        <v>0</v>
      </c>
      <c r="E129" s="148" t="s">
        <v>305</v>
      </c>
      <c r="F129" s="149"/>
      <c r="G129" s="150" t="e">
        <f>+IF(C128&lt;=1,IF(C128&lt;=0.8,IF(C128&lt;=0.6,IF(C128&lt;=0.5,IF(C128&lt;=0.4,IF(C128&lt;=0.35,0.115,0.14),0.19),0.25),0.335),0.435),"NO")</f>
        <v>#REF!</v>
      </c>
      <c r="H129" s="3" t="e">
        <f>+IF(OR(C125-C124=1,C125-C124=1.1,C125-C124=1.2),8,IF(OR(C125-C124=0.9,C125-C124=0.8,C125-C124=0.7,C125-C124=0.6),4,0))</f>
        <v>#REF!</v>
      </c>
      <c r="I129" s="3" t="s">
        <v>308</v>
      </c>
      <c r="J129" s="3"/>
      <c r="R129" s="3"/>
      <c r="S129" s="3"/>
      <c r="T129" s="3"/>
      <c r="U129" s="113"/>
    </row>
    <row r="130" spans="1:21" ht="13.5" thickBot="1">
      <c r="A130" s="108"/>
      <c r="B130" s="151" t="s">
        <v>52</v>
      </c>
      <c r="C130" s="152">
        <v>7.4999999999999997E-2</v>
      </c>
      <c r="D130" s="153" t="s">
        <v>0</v>
      </c>
      <c r="E130" s="154" t="s">
        <v>455</v>
      </c>
      <c r="F130" s="155"/>
      <c r="G130" s="156">
        <v>16</v>
      </c>
      <c r="H130" s="143"/>
      <c r="J130" s="3"/>
      <c r="M130" s="366" t="e">
        <f>+N130</f>
        <v>#REF!</v>
      </c>
      <c r="N130" s="367" t="e">
        <f>+D138</f>
        <v>#REF!</v>
      </c>
      <c r="O130" s="368" t="e">
        <f>+P130</f>
        <v>#REF!</v>
      </c>
      <c r="P130" s="369" t="e">
        <f>+F138</f>
        <v>#REF!</v>
      </c>
      <c r="Q130" s="366">
        <v>0</v>
      </c>
      <c r="R130" s="367">
        <v>0</v>
      </c>
      <c r="S130" s="368">
        <v>0</v>
      </c>
      <c r="T130" s="369">
        <v>0</v>
      </c>
      <c r="U130" s="113"/>
    </row>
    <row r="131" spans="1:21" ht="13.5" thickBot="1">
      <c r="A131" s="108"/>
      <c r="E131" s="157" t="s">
        <v>454</v>
      </c>
      <c r="F131" s="158">
        <v>0</v>
      </c>
      <c r="G131" s="159" t="e">
        <f>+((ROUND(((M141-K141)/2-2*C130-C128/2)/0.3-0.3,0)+1)*2+(ROUND((K141-C128-2*C130)/0.3-0.3,0)+1)+(ROUND(((L141-J141)/2-2*C130-C128/2)/0.3-0.3,0)+1)*2+(ROUND((J141-C128-2*C130)/0.3-0.3,0)+1))*2</f>
        <v>#REF!</v>
      </c>
      <c r="I131" s="3"/>
      <c r="J131" s="3"/>
      <c r="M131" s="366" t="e">
        <f>+ROUND((J141-2*C128)/4+C128/2,1)</f>
        <v>#REF!</v>
      </c>
      <c r="N131" s="367" t="e">
        <f>+ROUND((J141-2*C128)/4+C128/2,1)</f>
        <v>#REF!</v>
      </c>
      <c r="O131" s="368" t="e">
        <f>+N131</f>
        <v>#REF!</v>
      </c>
      <c r="P131" s="369" t="e">
        <f>+ROUND((J141-2*C128)/4+C128/2,1)</f>
        <v>#REF!</v>
      </c>
      <c r="Q131" s="366" t="e">
        <f>+M131+0.5</f>
        <v>#REF!</v>
      </c>
      <c r="R131" s="367" t="e">
        <f>+Q131</f>
        <v>#REF!</v>
      </c>
      <c r="S131" s="368" t="e">
        <f>+M131-0.7</f>
        <v>#REF!</v>
      </c>
      <c r="T131" s="369" t="e">
        <f>+S131</f>
        <v>#REF!</v>
      </c>
      <c r="U131" s="113"/>
    </row>
    <row r="132" spans="1:21" ht="13.5" thickBot="1">
      <c r="A132" s="108"/>
      <c r="B132" s="3"/>
      <c r="C132" s="3"/>
      <c r="D132" s="3"/>
      <c r="E132" s="157" t="s">
        <v>453</v>
      </c>
      <c r="F132" s="158" t="e">
        <f>+IF(C127=0.7,20,IF(C127=0.8,28,IF(C127=1,36,IF(C127=1.1,40,IF(C127=1.2,44,"kiem tra")))))</f>
        <v>#REF!</v>
      </c>
      <c r="G132" s="160"/>
      <c r="H132" s="120"/>
      <c r="I132" s="120"/>
      <c r="J132" s="120"/>
      <c r="K132" s="120"/>
      <c r="L132" s="121"/>
      <c r="M132" s="1506" t="s">
        <v>312</v>
      </c>
      <c r="N132" s="1507"/>
      <c r="O132" s="1507"/>
      <c r="P132" s="1508"/>
      <c r="Q132" s="1506" t="s">
        <v>313</v>
      </c>
      <c r="R132" s="1507"/>
      <c r="S132" s="1507"/>
      <c r="T132" s="1508"/>
      <c r="U132" s="127"/>
    </row>
    <row r="133" spans="1:21" ht="13.5" thickBot="1">
      <c r="A133" s="108"/>
      <c r="B133" s="3"/>
      <c r="C133" s="3"/>
      <c r="D133" s="3"/>
      <c r="E133" s="3"/>
      <c r="F133" s="3"/>
      <c r="G133" s="1543" t="s">
        <v>299</v>
      </c>
      <c r="H133" s="1544"/>
      <c r="I133" s="1545"/>
      <c r="J133" s="1546" t="s">
        <v>421</v>
      </c>
      <c r="K133" s="1544"/>
      <c r="L133" s="1545"/>
      <c r="M133" s="1547" t="s">
        <v>299</v>
      </c>
      <c r="N133" s="1548"/>
      <c r="O133" s="1551" t="s">
        <v>421</v>
      </c>
      <c r="P133" s="1552"/>
      <c r="Q133" s="1539" t="s">
        <v>299</v>
      </c>
      <c r="R133" s="1540"/>
      <c r="S133" s="1549" t="s">
        <v>421</v>
      </c>
      <c r="T133" s="1550"/>
      <c r="U133" s="113"/>
    </row>
    <row r="134" spans="1:21">
      <c r="A134" s="161"/>
      <c r="B134" s="162" t="s">
        <v>444</v>
      </c>
      <c r="C134" s="162" t="s">
        <v>441</v>
      </c>
      <c r="D134" s="162" t="s">
        <v>440</v>
      </c>
      <c r="E134" s="162" t="s">
        <v>442</v>
      </c>
      <c r="F134" s="163" t="s">
        <v>443</v>
      </c>
      <c r="G134" s="164">
        <v>1</v>
      </c>
      <c r="H134" s="26">
        <v>2</v>
      </c>
      <c r="I134" s="165">
        <v>3</v>
      </c>
      <c r="J134" s="164">
        <v>1</v>
      </c>
      <c r="K134" s="26">
        <v>2</v>
      </c>
      <c r="L134" s="165">
        <v>3</v>
      </c>
      <c r="M134" s="164" t="s">
        <v>320</v>
      </c>
      <c r="N134" s="165" t="s">
        <v>321</v>
      </c>
      <c r="O134" s="148" t="s">
        <v>322</v>
      </c>
      <c r="P134" s="165" t="s">
        <v>323</v>
      </c>
      <c r="Q134" s="148" t="s">
        <v>324</v>
      </c>
      <c r="R134" s="166" t="s">
        <v>325</v>
      </c>
      <c r="S134" s="149" t="s">
        <v>324</v>
      </c>
      <c r="T134" s="166" t="s">
        <v>325</v>
      </c>
      <c r="U134" s="113"/>
    </row>
    <row r="135" spans="1:21">
      <c r="A135" s="167" t="s">
        <v>438</v>
      </c>
      <c r="B135" s="12" t="e">
        <f>+VALUE(MID(#REF!,4,2))</f>
        <v>#REF!</v>
      </c>
      <c r="C135" s="12" t="e">
        <f>MID(#REF!,4,2)</f>
        <v>#REF!</v>
      </c>
      <c r="D135" s="12" t="e">
        <f>+C135</f>
        <v>#REF!</v>
      </c>
      <c r="E135" s="12" t="e">
        <f>+C135</f>
        <v>#REF!</v>
      </c>
      <c r="F135" s="80" t="e">
        <f>+C135</f>
        <v>#REF!</v>
      </c>
      <c r="G135" s="168" t="e">
        <f>+VALUE(LEFT(#REF!,2))</f>
        <v>#REF!</v>
      </c>
      <c r="H135" s="27" t="e">
        <f>+VALUE(LEFT(#REF!,2))</f>
        <v>#REF!</v>
      </c>
      <c r="I135" s="169" t="e">
        <f>+H135</f>
        <v>#REF!</v>
      </c>
      <c r="J135" s="168" t="e">
        <f>+G135</f>
        <v>#REF!</v>
      </c>
      <c r="K135" s="27" t="e">
        <f>+H135</f>
        <v>#REF!</v>
      </c>
      <c r="L135" s="169" t="e">
        <f>+K135</f>
        <v>#REF!</v>
      </c>
      <c r="M135" s="168" t="e">
        <f>+G135</f>
        <v>#REF!</v>
      </c>
      <c r="N135" s="169" t="e">
        <f>+H135</f>
        <v>#REF!</v>
      </c>
      <c r="O135" s="170" t="e">
        <f>+J135</f>
        <v>#REF!</v>
      </c>
      <c r="P135" s="169" t="e">
        <f>+K135</f>
        <v>#REF!</v>
      </c>
      <c r="Q135" s="170" t="e">
        <f>+M135</f>
        <v>#REF!</v>
      </c>
      <c r="R135" s="171" t="e">
        <f>+N135</f>
        <v>#REF!</v>
      </c>
      <c r="S135" s="172" t="e">
        <f>+O135</f>
        <v>#REF!</v>
      </c>
      <c r="T135" s="169" t="e">
        <f>+P135</f>
        <v>#REF!</v>
      </c>
      <c r="U135" s="113"/>
    </row>
    <row r="136" spans="1:21">
      <c r="A136" s="173" t="s">
        <v>326</v>
      </c>
      <c r="B136" s="174" t="e">
        <f>+LEFT(#REF!,2)</f>
        <v>#REF!</v>
      </c>
      <c r="C136" s="174" t="e">
        <f>+LEFT(#REF!,2)-D136</f>
        <v>#REF!</v>
      </c>
      <c r="D136" s="175">
        <v>0</v>
      </c>
      <c r="E136" s="174" t="e">
        <f>+C136</f>
        <v>#REF!</v>
      </c>
      <c r="F136" s="176">
        <f>+D136</f>
        <v>0</v>
      </c>
      <c r="G136" s="168" t="e">
        <f>+G125</f>
        <v>#REF!</v>
      </c>
      <c r="H136" s="27" t="e">
        <f>+H125</f>
        <v>#REF!</v>
      </c>
      <c r="I136" s="169" t="e">
        <f>+H136</f>
        <v>#REF!</v>
      </c>
      <c r="J136" s="168" t="e">
        <f>+G126</f>
        <v>#REF!</v>
      </c>
      <c r="K136" s="27" t="e">
        <f>+H126</f>
        <v>#REF!</v>
      </c>
      <c r="L136" s="169" t="e">
        <f>+K136</f>
        <v>#REF!</v>
      </c>
      <c r="M136" s="177"/>
      <c r="N136" s="169"/>
      <c r="O136" s="178"/>
      <c r="P136" s="169"/>
      <c r="Q136" s="178"/>
      <c r="R136" s="171"/>
      <c r="S136" s="179"/>
      <c r="T136" s="169"/>
      <c r="U136" s="113"/>
    </row>
    <row r="137" spans="1:21">
      <c r="A137" s="1541" t="s">
        <v>327</v>
      </c>
      <c r="B137" s="180" t="e">
        <f>+B136*4-4</f>
        <v>#REF!</v>
      </c>
      <c r="C137" s="180" t="e">
        <f>+C136*2</f>
        <v>#REF!</v>
      </c>
      <c r="D137" s="180">
        <f>+D136*2</f>
        <v>0</v>
      </c>
      <c r="E137" s="180" t="e">
        <f>+E136*2</f>
        <v>#REF!</v>
      </c>
      <c r="F137" s="181">
        <f>+F136*2</f>
        <v>0</v>
      </c>
      <c r="G137" s="168" t="e">
        <f>+ROUND(((C122-C121)/2-G129-C130)/G136,0)+1</f>
        <v>#REF!</v>
      </c>
      <c r="H137" s="27" t="e">
        <f>+ROUND(((C121-C123)/2-G129-C130)/H136,0)+1</f>
        <v>#REF!</v>
      </c>
      <c r="I137" s="169" t="e">
        <f>+ROUND((C123+2*C130)/I136,0)-1</f>
        <v>#REF!</v>
      </c>
      <c r="J137" s="168" t="e">
        <f>+ROUND(((E122-E121)/2-G129-C130)/J136,0)+1</f>
        <v>#REF!</v>
      </c>
      <c r="K137" s="27" t="e">
        <f>+ROUND(((E121-E123)/2-G129-C130)/K136,0)+1</f>
        <v>#REF!</v>
      </c>
      <c r="L137" s="169" t="e">
        <f>+ROUND((E123+2*C130)/L136,0)-1</f>
        <v>#REF!</v>
      </c>
      <c r="M137" s="177" t="e">
        <f>+(G137-1)*2*G127</f>
        <v>#REF!</v>
      </c>
      <c r="N137" s="169" t="e">
        <f>+((I137+1)+(H137-1)*2)*H127</f>
        <v>#REF!</v>
      </c>
      <c r="O137" s="178" t="e">
        <f>+(J137-1)*2*G127</f>
        <v>#REF!</v>
      </c>
      <c r="P137" s="169" t="e">
        <f>+((L137+1)+(K137-1)*2)*H127</f>
        <v>#REF!</v>
      </c>
      <c r="Q137" s="178" t="e">
        <f>+(G137-1)*2*G128</f>
        <v>#REF!</v>
      </c>
      <c r="R137" s="171" t="e">
        <f>+((I137+1)+(H137-1)*2)*H128</f>
        <v>#REF!</v>
      </c>
      <c r="S137" s="179" t="e">
        <f>+(J137-1)*2*G128</f>
        <v>#REF!</v>
      </c>
      <c r="T137" s="169" t="e">
        <f>+((L137+1)+(K137-1)*2)*H128</f>
        <v>#REF!</v>
      </c>
      <c r="U137" s="113"/>
    </row>
    <row r="138" spans="1:21">
      <c r="A138" s="1542"/>
      <c r="B138" s="182"/>
      <c r="C138" s="183" t="s">
        <v>328</v>
      </c>
      <c r="D138" s="184" t="e">
        <f>+ROUND(#REF!/2,1)+0.3</f>
        <v>#REF!</v>
      </c>
      <c r="E138" s="182"/>
      <c r="F138" s="185" t="e">
        <f>+ROUND(#REF!/2,1)+0.3</f>
        <v>#REF!</v>
      </c>
      <c r="G138" s="186" t="e">
        <f>+G137-1</f>
        <v>#REF!</v>
      </c>
      <c r="H138" s="182" t="e">
        <f>+H137-1</f>
        <v>#REF!</v>
      </c>
      <c r="I138" s="187"/>
      <c r="J138" s="186" t="e">
        <f>+J137-1</f>
        <v>#REF!</v>
      </c>
      <c r="K138" s="182" t="e">
        <f>+K137-1</f>
        <v>#REF!</v>
      </c>
      <c r="L138" s="187"/>
      <c r="M138" s="188" t="e">
        <f t="shared" ref="M138:T138" si="13">+M137</f>
        <v>#REF!</v>
      </c>
      <c r="N138" s="189" t="e">
        <f t="shared" si="13"/>
        <v>#REF!</v>
      </c>
      <c r="O138" s="190" t="e">
        <f t="shared" si="13"/>
        <v>#REF!</v>
      </c>
      <c r="P138" s="189" t="e">
        <f t="shared" si="13"/>
        <v>#REF!</v>
      </c>
      <c r="Q138" s="190" t="e">
        <f t="shared" si="13"/>
        <v>#REF!</v>
      </c>
      <c r="R138" s="191" t="e">
        <f t="shared" si="13"/>
        <v>#REF!</v>
      </c>
      <c r="S138" s="192" t="e">
        <f t="shared" si="13"/>
        <v>#REF!</v>
      </c>
      <c r="T138" s="189" t="e">
        <f t="shared" si="13"/>
        <v>#REF!</v>
      </c>
      <c r="U138" s="113"/>
    </row>
    <row r="139" spans="1:21" ht="13.5" thickBot="1">
      <c r="A139" s="193" t="s">
        <v>329</v>
      </c>
      <c r="B139" s="194" t="e">
        <f>+C126-2*C130+0.25</f>
        <v>#REF!</v>
      </c>
      <c r="C139" s="194" t="e">
        <f>+E122-2*C130</f>
        <v>#REF!</v>
      </c>
      <c r="D139" s="194" t="e">
        <f>+D138*2+C121</f>
        <v>#REF!</v>
      </c>
      <c r="E139" s="194" t="e">
        <f>+C122-2*C130</f>
        <v>#REF!</v>
      </c>
      <c r="F139" s="195" t="e">
        <f>+F138*2+C121</f>
        <v>#REF!</v>
      </c>
      <c r="G139" s="196" t="e">
        <f>+C139</f>
        <v>#REF!</v>
      </c>
      <c r="H139" s="197" t="e">
        <f>+G139</f>
        <v>#REF!</v>
      </c>
      <c r="I139" s="198" t="e">
        <f>+(E122/2-E123/2-2*C130)</f>
        <v>#REF!</v>
      </c>
      <c r="J139" s="196" t="e">
        <f>+E139</f>
        <v>#REF!</v>
      </c>
      <c r="K139" s="197" t="e">
        <f>+J139</f>
        <v>#REF!</v>
      </c>
      <c r="L139" s="198" t="e">
        <f>+(C122/2-C123/2-2*C130)</f>
        <v>#REF!</v>
      </c>
      <c r="M139" s="199" t="e">
        <f>+N139</f>
        <v>#REF!</v>
      </c>
      <c r="N139" s="200" t="e">
        <f>+N130+N131</f>
        <v>#REF!</v>
      </c>
      <c r="O139" s="199" t="e">
        <f>+P139</f>
        <v>#REF!</v>
      </c>
      <c r="P139" s="200" t="e">
        <f>+P130+P131</f>
        <v>#REF!</v>
      </c>
      <c r="Q139" s="201"/>
      <c r="R139" s="202"/>
      <c r="S139" s="203"/>
      <c r="T139" s="200"/>
      <c r="U139" s="113"/>
    </row>
    <row r="140" spans="1:21" ht="15.5" thickBot="1">
      <c r="A140" s="105"/>
      <c r="B140" s="63"/>
      <c r="C140" s="63"/>
      <c r="D140" s="63"/>
      <c r="E140" s="63"/>
      <c r="F140" s="63"/>
      <c r="G140" s="3"/>
      <c r="H140" s="3"/>
      <c r="I140" s="3"/>
      <c r="J140" s="3"/>
      <c r="K140" s="3"/>
      <c r="L140" s="3"/>
      <c r="M140" s="3"/>
      <c r="N140" s="3"/>
      <c r="O140" s="204"/>
      <c r="Q140" s="205"/>
      <c r="S140" s="205"/>
      <c r="T140" s="3"/>
      <c r="U140" s="113"/>
    </row>
    <row r="141" spans="1:21" ht="15.5" thickBot="1">
      <c r="A141" s="206" t="s">
        <v>428</v>
      </c>
      <c r="B141" s="207"/>
      <c r="C141" s="207"/>
      <c r="D141" s="207"/>
      <c r="E141" s="207"/>
      <c r="F141" s="207"/>
      <c r="G141" s="208"/>
      <c r="H141" s="3"/>
      <c r="I141" s="209" t="s">
        <v>288</v>
      </c>
      <c r="J141" s="210" t="e">
        <f>+C121</f>
        <v>#REF!</v>
      </c>
      <c r="K141" s="210" t="e">
        <f>+E121</f>
        <v>#REF!</v>
      </c>
      <c r="L141" s="211" t="e">
        <f>+C122</f>
        <v>#REF!</v>
      </c>
      <c r="M141" s="212" t="e">
        <f>+E122</f>
        <v>#REF!</v>
      </c>
      <c r="N141" s="213"/>
      <c r="Q141" s="123"/>
      <c r="T141" s="3"/>
      <c r="U141" s="113"/>
    </row>
    <row r="142" spans="1:21" ht="13.5" thickBot="1">
      <c r="A142" s="214"/>
      <c r="B142" s="215" t="s">
        <v>331</v>
      </c>
      <c r="C142" s="215" t="s">
        <v>332</v>
      </c>
      <c r="D142" s="215" t="s">
        <v>333</v>
      </c>
      <c r="E142" s="215" t="s">
        <v>334</v>
      </c>
      <c r="F142" s="216" t="s">
        <v>335</v>
      </c>
      <c r="G142" s="217" t="s">
        <v>336</v>
      </c>
      <c r="H142" s="218" t="s">
        <v>137</v>
      </c>
      <c r="I142" s="219" t="s">
        <v>437</v>
      </c>
      <c r="J142" s="215" t="s">
        <v>438</v>
      </c>
      <c r="K142" s="215" t="s">
        <v>338</v>
      </c>
      <c r="L142" s="215" t="s">
        <v>339</v>
      </c>
      <c r="M142" s="217" t="s">
        <v>340</v>
      </c>
      <c r="N142" s="220"/>
      <c r="O142" s="220"/>
      <c r="P142" s="3"/>
      <c r="Q142" s="3"/>
      <c r="R142" s="3"/>
      <c r="S142" s="3"/>
      <c r="T142" s="3"/>
      <c r="U142" s="113"/>
    </row>
    <row r="143" spans="1:21">
      <c r="A143" s="221" t="s">
        <v>341</v>
      </c>
      <c r="B143" s="222" t="e">
        <f>L141</f>
        <v>#REF!</v>
      </c>
      <c r="C143" s="222" t="e">
        <f>M141</f>
        <v>#REF!</v>
      </c>
      <c r="D143" s="222" t="e">
        <f>+C123</f>
        <v>#REF!</v>
      </c>
      <c r="E143" s="222" t="e">
        <f>+E123</f>
        <v>#REF!</v>
      </c>
      <c r="F143" s="222" t="e">
        <f>+C124</f>
        <v>#REF!</v>
      </c>
      <c r="G143" s="223" t="e">
        <f>(B143*C143-D143*E143)*F143</f>
        <v>#REF!</v>
      </c>
      <c r="H143" s="224"/>
      <c r="I143" s="225">
        <v>1</v>
      </c>
      <c r="J143" s="226" t="e">
        <f>+B135</f>
        <v>#REF!</v>
      </c>
      <c r="K143" s="227" t="e">
        <f>+B139</f>
        <v>#REF!</v>
      </c>
      <c r="L143" s="228" t="e">
        <f>+B137*4</f>
        <v>#REF!</v>
      </c>
      <c r="M143" s="229" t="e">
        <f t="shared" ref="M143:M168" si="14">K143*L143</f>
        <v>#REF!</v>
      </c>
      <c r="N143" s="230"/>
      <c r="O143" s="230"/>
      <c r="P143" s="2" t="s">
        <v>445</v>
      </c>
      <c r="Q143" s="3"/>
      <c r="R143" s="3"/>
      <c r="S143" s="3"/>
      <c r="T143" s="3"/>
      <c r="U143" s="113"/>
    </row>
    <row r="144" spans="1:21">
      <c r="A144" s="231" t="s">
        <v>343</v>
      </c>
      <c r="B144" s="232" t="e">
        <f>+C128</f>
        <v>#REF!</v>
      </c>
      <c r="C144" s="233" t="e">
        <f>F144-F143</f>
        <v>#REF!</v>
      </c>
      <c r="D144" s="233" t="e">
        <f>B143</f>
        <v>#REF!</v>
      </c>
      <c r="E144" s="233" t="e">
        <f>C143</f>
        <v>#REF!</v>
      </c>
      <c r="F144" s="232" t="e">
        <f>+C125</f>
        <v>#REF!</v>
      </c>
      <c r="G144" s="234" t="e">
        <f>(B144*C144*D144*2)+(B144*C144*(E144-B144*2))*2</f>
        <v>#REF!</v>
      </c>
      <c r="H144" s="235"/>
      <c r="I144" s="236">
        <v>2</v>
      </c>
      <c r="J144" s="232" t="e">
        <f>C135</f>
        <v>#REF!</v>
      </c>
      <c r="K144" s="237" t="e">
        <f>+C139</f>
        <v>#REF!</v>
      </c>
      <c r="L144" s="238" t="e">
        <f>+C137*2</f>
        <v>#REF!</v>
      </c>
      <c r="M144" s="239" t="e">
        <f t="shared" si="14"/>
        <v>#REF!</v>
      </c>
      <c r="N144" s="230"/>
      <c r="O144" s="230"/>
      <c r="P144" s="2" t="s">
        <v>446</v>
      </c>
      <c r="Q144" s="3"/>
      <c r="R144" s="3"/>
      <c r="S144" s="3"/>
      <c r="T144" s="3"/>
      <c r="U144" s="113"/>
    </row>
    <row r="145" spans="1:21">
      <c r="A145" s="231" t="s">
        <v>345</v>
      </c>
      <c r="B145" s="232">
        <f>+C129</f>
        <v>0.4</v>
      </c>
      <c r="C145" s="232">
        <f>B145</f>
        <v>0.4</v>
      </c>
      <c r="D145" s="232" t="e">
        <f>C144</f>
        <v>#REF!</v>
      </c>
      <c r="E145" s="232"/>
      <c r="F145" s="232"/>
      <c r="G145" s="234" t="e">
        <f>((B145*C145)/2)*D145*16</f>
        <v>#REF!</v>
      </c>
      <c r="H145" s="235"/>
      <c r="I145" s="236" t="s">
        <v>346</v>
      </c>
      <c r="J145" s="240" t="e">
        <f>+D135</f>
        <v>#REF!</v>
      </c>
      <c r="K145" s="241" t="e">
        <f>+D139</f>
        <v>#REF!</v>
      </c>
      <c r="L145" s="242">
        <f>+D137*2</f>
        <v>0</v>
      </c>
      <c r="M145" s="243" t="e">
        <f t="shared" si="14"/>
        <v>#REF!</v>
      </c>
      <c r="N145" s="244" t="e">
        <f>+M145+M147</f>
        <v>#REF!</v>
      </c>
      <c r="O145" s="245">
        <f>+L145+L147</f>
        <v>0</v>
      </c>
      <c r="P145" s="2" t="s">
        <v>347</v>
      </c>
      <c r="Q145" s="3"/>
      <c r="R145" s="3"/>
      <c r="S145" s="3"/>
      <c r="T145" s="3"/>
      <c r="U145" s="113"/>
    </row>
    <row r="146" spans="1:21" ht="13.5" thickBot="1">
      <c r="A146" s="246" t="s">
        <v>439</v>
      </c>
      <c r="B146" s="247" t="e">
        <f>+C127</f>
        <v>#REF!</v>
      </c>
      <c r="C146" s="247" t="e">
        <f>B146</f>
        <v>#REF!</v>
      </c>
      <c r="D146" s="247"/>
      <c r="E146" s="247"/>
      <c r="F146" s="248" t="e">
        <f>C126-(C144+F143)</f>
        <v>#REF!</v>
      </c>
      <c r="G146" s="249" t="e">
        <f>B146*C146*F146*4</f>
        <v>#REF!</v>
      </c>
      <c r="H146" s="235"/>
      <c r="I146" s="236" t="e">
        <f>+IF(OR(K146=0,L146=0),0,IF(I144=0,I143+1,I144+1))</f>
        <v>#REF!</v>
      </c>
      <c r="J146" s="232" t="e">
        <f>E135</f>
        <v>#REF!</v>
      </c>
      <c r="K146" s="237" t="e">
        <f>+E139</f>
        <v>#REF!</v>
      </c>
      <c r="L146" s="238" t="e">
        <f>+E137*2</f>
        <v>#REF!</v>
      </c>
      <c r="M146" s="239" t="e">
        <f t="shared" si="14"/>
        <v>#REF!</v>
      </c>
      <c r="N146" s="230"/>
      <c r="O146" s="230"/>
      <c r="P146" s="2"/>
      <c r="Q146" s="3"/>
      <c r="R146" s="3"/>
      <c r="S146" s="3"/>
      <c r="T146" s="3"/>
      <c r="U146" s="113"/>
    </row>
    <row r="147" spans="1:21" ht="13.5" thickBot="1">
      <c r="A147" s="250" t="s">
        <v>350</v>
      </c>
      <c r="B147" s="251"/>
      <c r="C147" s="251"/>
      <c r="D147" s="251"/>
      <c r="E147" s="251"/>
      <c r="F147" s="251"/>
      <c r="G147" s="252" t="e">
        <f>SUM(G143:G146)</f>
        <v>#REF!</v>
      </c>
      <c r="I147" s="236" t="s">
        <v>349</v>
      </c>
      <c r="J147" s="253" t="e">
        <f>+F135</f>
        <v>#REF!</v>
      </c>
      <c r="K147" s="254" t="e">
        <f>+F139</f>
        <v>#REF!</v>
      </c>
      <c r="L147" s="255">
        <f>+F137*2</f>
        <v>0</v>
      </c>
      <c r="M147" s="256" t="e">
        <f t="shared" si="14"/>
        <v>#REF!</v>
      </c>
      <c r="N147" s="257"/>
      <c r="O147" s="258"/>
      <c r="R147" s="3"/>
      <c r="S147" s="3"/>
      <c r="T147" s="3"/>
      <c r="U147" s="113"/>
    </row>
    <row r="148" spans="1:21" ht="16.5" customHeight="1" thickBot="1">
      <c r="A148" s="259" t="s">
        <v>351</v>
      </c>
      <c r="B148" s="260" t="e">
        <f>B143+0.1*2</f>
        <v>#REF!</v>
      </c>
      <c r="C148" s="215" t="e">
        <f>C143+0.1*2</f>
        <v>#REF!</v>
      </c>
      <c r="D148" s="215" t="e">
        <f>D143-0.1*2</f>
        <v>#REF!</v>
      </c>
      <c r="E148" s="215" t="e">
        <f>E143-0.1*2</f>
        <v>#REF!</v>
      </c>
      <c r="F148" s="217">
        <v>0.1</v>
      </c>
      <c r="G148" s="261" t="e">
        <f>(B148*C148-D148*E148)*F148</f>
        <v>#REF!</v>
      </c>
      <c r="H148" s="1553">
        <v>4</v>
      </c>
      <c r="I148" s="236">
        <v>4</v>
      </c>
      <c r="J148" s="262" t="e">
        <f>+G135</f>
        <v>#REF!</v>
      </c>
      <c r="K148" s="263" t="e">
        <f>+G139</f>
        <v>#REF!</v>
      </c>
      <c r="L148" s="264" t="e">
        <f>+(G138+G137)*2+G130</f>
        <v>#REF!</v>
      </c>
      <c r="M148" s="265" t="e">
        <f t="shared" si="14"/>
        <v>#REF!</v>
      </c>
      <c r="N148" s="244" t="e">
        <f>+M148+M149</f>
        <v>#REF!</v>
      </c>
      <c r="O148" s="245" t="e">
        <f>+L148+L149</f>
        <v>#REF!</v>
      </c>
      <c r="P148" s="266" t="s">
        <v>352</v>
      </c>
      <c r="Q148" s="267"/>
      <c r="R148" s="3"/>
      <c r="S148" s="3"/>
      <c r="T148" s="3"/>
      <c r="U148" s="113"/>
    </row>
    <row r="149" spans="1:21" ht="16.5" customHeight="1" thickBot="1">
      <c r="A149" s="268" t="s">
        <v>353</v>
      </c>
      <c r="B149" s="269" t="e">
        <f>B143+F149*2</f>
        <v>#REF!</v>
      </c>
      <c r="C149" s="269" t="e">
        <f>C143+F149*2</f>
        <v>#REF!</v>
      </c>
      <c r="D149" s="269" t="e">
        <f>B149+F149*2</f>
        <v>#REF!</v>
      </c>
      <c r="E149" s="269" t="e">
        <f>C149+F149*2</f>
        <v>#REF!</v>
      </c>
      <c r="F149" s="270" t="e">
        <f>+#REF!</f>
        <v>#REF!</v>
      </c>
      <c r="G149" s="271" t="e">
        <f>F149/6*((B149*C149)+(B149+D149)*(C149+E149)+(D149*E149))</f>
        <v>#REF!</v>
      </c>
      <c r="H149" s="1554"/>
      <c r="I149" s="236" t="s">
        <v>354</v>
      </c>
      <c r="J149" s="272" t="e">
        <f>+H135</f>
        <v>#REF!</v>
      </c>
      <c r="K149" s="273" t="e">
        <f>+H139</f>
        <v>#REF!</v>
      </c>
      <c r="L149" s="274" t="e">
        <f>+(H138+H137)*2</f>
        <v>#REF!</v>
      </c>
      <c r="M149" s="275" t="e">
        <f t="shared" si="14"/>
        <v>#REF!</v>
      </c>
      <c r="N149" s="257"/>
      <c r="O149" s="258"/>
      <c r="P149" s="266" t="s">
        <v>355</v>
      </c>
      <c r="Q149" s="267"/>
      <c r="R149" s="3"/>
      <c r="S149" s="3"/>
      <c r="T149" s="3"/>
      <c r="U149" s="113"/>
    </row>
    <row r="150" spans="1:21" ht="15" customHeight="1" thickBot="1">
      <c r="A150" s="276" t="s">
        <v>356</v>
      </c>
      <c r="B150" s="215" t="e">
        <f>B149</f>
        <v>#REF!</v>
      </c>
      <c r="C150" s="215" t="e">
        <f>C149</f>
        <v>#REF!</v>
      </c>
      <c r="D150" s="215" t="e">
        <f>B150+F150*2</f>
        <v>#REF!</v>
      </c>
      <c r="E150" s="215" t="e">
        <f>C150+F150*2</f>
        <v>#REF!</v>
      </c>
      <c r="F150" s="217" t="e">
        <f>+C126+F149+F148</f>
        <v>#REF!</v>
      </c>
      <c r="G150" s="277" t="e">
        <f>F150/6*((B150*C150)+(B150+D150)*(C150+E150)+(D150*E150))</f>
        <v>#REF!</v>
      </c>
      <c r="H150" s="1554"/>
      <c r="I150" s="236" t="s">
        <v>357</v>
      </c>
      <c r="J150" s="3" t="e">
        <f>+M135</f>
        <v>#REF!</v>
      </c>
      <c r="K150" s="237" t="e">
        <f>+M139</f>
        <v>#REF!</v>
      </c>
      <c r="L150" s="278" t="e">
        <f>+(M137+M138)*2</f>
        <v>#REF!</v>
      </c>
      <c r="M150" s="239" t="e">
        <f t="shared" si="14"/>
        <v>#REF!</v>
      </c>
      <c r="N150" s="244" t="e">
        <f>+M150+M151</f>
        <v>#REF!</v>
      </c>
      <c r="O150" s="245" t="e">
        <f>+L150+L151</f>
        <v>#REF!</v>
      </c>
      <c r="P150" s="279" t="s">
        <v>358</v>
      </c>
      <c r="Q150" s="280"/>
      <c r="R150" s="3"/>
      <c r="S150" s="3"/>
      <c r="T150" s="3"/>
      <c r="U150" s="113"/>
    </row>
    <row r="151" spans="1:21" ht="15" customHeight="1" thickBot="1">
      <c r="A151" s="281" t="s">
        <v>359</v>
      </c>
      <c r="B151" s="282" t="e">
        <f>B143</f>
        <v>#REF!</v>
      </c>
      <c r="C151" s="282" t="e">
        <f>C143</f>
        <v>#REF!</v>
      </c>
      <c r="D151" s="283" t="e">
        <f>B151+F151*2</f>
        <v>#REF!</v>
      </c>
      <c r="E151" s="283" t="e">
        <f>C151+F151*2</f>
        <v>#REF!</v>
      </c>
      <c r="F151" s="283">
        <v>0.5</v>
      </c>
      <c r="G151" s="277" t="e">
        <f>(F151/6*((B151*C151)+(B151+D151)*(C151+E151)+(D151*E151)))-(B146*C146*F151*4)</f>
        <v>#REF!</v>
      </c>
      <c r="H151" s="1554"/>
      <c r="I151" s="236" t="s">
        <v>360</v>
      </c>
      <c r="J151" s="27" t="e">
        <f>+N135</f>
        <v>#REF!</v>
      </c>
      <c r="K151" s="237" t="e">
        <f>+N139</f>
        <v>#REF!</v>
      </c>
      <c r="L151" s="238" t="e">
        <f>+(N137+N138)*2</f>
        <v>#REF!</v>
      </c>
      <c r="M151" s="239" t="e">
        <f t="shared" si="14"/>
        <v>#REF!</v>
      </c>
      <c r="N151" s="258"/>
      <c r="O151" s="258"/>
      <c r="P151" s="279" t="s">
        <v>361</v>
      </c>
      <c r="Q151" s="3"/>
      <c r="R151" s="3"/>
      <c r="S151" s="3"/>
      <c r="T151" s="3"/>
      <c r="U151" s="113"/>
    </row>
    <row r="152" spans="1:21" ht="16.5" customHeight="1" thickBot="1">
      <c r="A152" s="281" t="s">
        <v>362</v>
      </c>
      <c r="B152" s="283"/>
      <c r="C152" s="283"/>
      <c r="D152" s="283"/>
      <c r="E152" s="283"/>
      <c r="F152" s="283"/>
      <c r="G152" s="284" t="e">
        <f>G150-G149-G148-G147+G151+(B146*C146*(1-F151)*4)</f>
        <v>#REF!</v>
      </c>
      <c r="H152" s="1554"/>
      <c r="I152" s="236" t="s">
        <v>363</v>
      </c>
      <c r="J152" s="27" t="e">
        <f>+Q135</f>
        <v>#REF!</v>
      </c>
      <c r="K152" s="285">
        <f>+Q139</f>
        <v>0</v>
      </c>
      <c r="L152" s="238" t="e">
        <f>+(Q137+Q138)*2</f>
        <v>#REF!</v>
      </c>
      <c r="M152" s="239" t="e">
        <f t="shared" si="14"/>
        <v>#REF!</v>
      </c>
      <c r="N152" s="257"/>
      <c r="O152" s="258"/>
      <c r="P152" s="279" t="s">
        <v>364</v>
      </c>
      <c r="Q152" s="286"/>
      <c r="R152" s="3"/>
      <c r="S152" s="3"/>
      <c r="T152" s="3"/>
      <c r="U152" s="113"/>
    </row>
    <row r="153" spans="1:21" ht="15.75" customHeight="1">
      <c r="A153" s="287"/>
      <c r="B153" s="220"/>
      <c r="C153" s="220"/>
      <c r="D153" s="220"/>
      <c r="E153" s="220"/>
      <c r="F153" s="220"/>
      <c r="G153" s="288"/>
      <c r="H153" s="1555"/>
      <c r="I153" s="236" t="s">
        <v>365</v>
      </c>
      <c r="J153" s="27" t="e">
        <f>+R135</f>
        <v>#REF!</v>
      </c>
      <c r="K153" s="285">
        <f>+R139</f>
        <v>0</v>
      </c>
      <c r="L153" s="238" t="e">
        <f>+(R137+R138)*2</f>
        <v>#REF!</v>
      </c>
      <c r="M153" s="239" t="e">
        <f t="shared" si="14"/>
        <v>#REF!</v>
      </c>
      <c r="N153" s="257"/>
      <c r="O153" s="258"/>
      <c r="P153" s="279" t="s">
        <v>366</v>
      </c>
      <c r="Q153" s="286"/>
      <c r="R153" s="3"/>
      <c r="S153" s="3"/>
      <c r="T153" s="3"/>
      <c r="U153" s="113"/>
    </row>
    <row r="154" spans="1:21" ht="16.5" customHeight="1" thickBot="1">
      <c r="A154" s="289" t="s">
        <v>436</v>
      </c>
      <c r="B154" s="3"/>
      <c r="C154" s="3"/>
      <c r="D154" s="3"/>
      <c r="E154" s="3"/>
      <c r="F154" s="3"/>
      <c r="G154" s="280"/>
      <c r="H154" s="1536">
        <v>5</v>
      </c>
      <c r="I154" s="236">
        <v>5</v>
      </c>
      <c r="J154" s="262" t="e">
        <f>+J135</f>
        <v>#REF!</v>
      </c>
      <c r="K154" s="263" t="e">
        <f>+J139</f>
        <v>#REF!</v>
      </c>
      <c r="L154" s="264" t="e">
        <f>+(J138+J137)*2+G130</f>
        <v>#REF!</v>
      </c>
      <c r="M154" s="265" t="e">
        <f t="shared" si="14"/>
        <v>#REF!</v>
      </c>
      <c r="N154" s="244" t="e">
        <f>+M154+M155</f>
        <v>#REF!</v>
      </c>
      <c r="O154" s="245" t="e">
        <f>+L154+L155</f>
        <v>#REF!</v>
      </c>
      <c r="P154" s="266" t="s">
        <v>372</v>
      </c>
      <c r="Q154" s="267"/>
      <c r="R154" s="3"/>
      <c r="S154" s="3"/>
      <c r="T154" s="3"/>
      <c r="U154" s="113"/>
    </row>
    <row r="155" spans="1:21" ht="16.5" customHeight="1" thickBot="1">
      <c r="A155" s="290" t="s">
        <v>438</v>
      </c>
      <c r="B155" s="291" t="s">
        <v>338</v>
      </c>
      <c r="C155" s="291" t="s">
        <v>369</v>
      </c>
      <c r="D155" s="291" t="s">
        <v>370</v>
      </c>
      <c r="E155" s="292" t="s">
        <v>340</v>
      </c>
      <c r="F155" s="293" t="s">
        <v>435</v>
      </c>
      <c r="G155" s="280"/>
      <c r="H155" s="1537"/>
      <c r="I155" s="236" t="s">
        <v>466</v>
      </c>
      <c r="J155" s="272" t="e">
        <f>+K135</f>
        <v>#REF!</v>
      </c>
      <c r="K155" s="273" t="e">
        <f>+K139</f>
        <v>#REF!</v>
      </c>
      <c r="L155" s="274" t="e">
        <f>+(K138+K137)*2</f>
        <v>#REF!</v>
      </c>
      <c r="M155" s="275" t="e">
        <f t="shared" si="14"/>
        <v>#REF!</v>
      </c>
      <c r="N155" s="257"/>
      <c r="O155" s="258"/>
      <c r="P155" s="266" t="s">
        <v>373</v>
      </c>
      <c r="Q155" s="267"/>
      <c r="R155" s="3"/>
      <c r="S155" s="3"/>
      <c r="T155" s="3"/>
      <c r="U155" s="113"/>
    </row>
    <row r="156" spans="1:21" ht="16.5" customHeight="1" thickBot="1">
      <c r="A156" s="224">
        <v>25</v>
      </c>
      <c r="B156" s="294">
        <f t="shared" ref="B156:B164" si="15">+SUMIF($J$143:$J$168,A156,$M$143:$M$168)</f>
        <v>0</v>
      </c>
      <c r="C156" s="295">
        <f>+ROUND(A156^2*3.14/1000000*7850/4,3)</f>
        <v>3.851</v>
      </c>
      <c r="D156" s="296">
        <f t="shared" ref="D156:D164" si="16">+ROUND(B156*C156,2)</f>
        <v>0</v>
      </c>
      <c r="E156" s="297" t="e">
        <f>+SUM(D156:D164)</f>
        <v>#REF!</v>
      </c>
      <c r="F156" s="125" t="e">
        <f>+E156/G147</f>
        <v>#REF!</v>
      </c>
      <c r="G156" s="3"/>
      <c r="H156" s="1537"/>
      <c r="I156" s="236" t="s">
        <v>462</v>
      </c>
      <c r="J156" s="27" t="e">
        <f>+O135</f>
        <v>#REF!</v>
      </c>
      <c r="K156" s="285" t="e">
        <f>+O139</f>
        <v>#REF!</v>
      </c>
      <c r="L156" s="298" t="e">
        <f>+(O137+O138)*2</f>
        <v>#REF!</v>
      </c>
      <c r="M156" s="239" t="e">
        <f t="shared" si="14"/>
        <v>#REF!</v>
      </c>
      <c r="N156" s="244" t="e">
        <f>+M156+M157</f>
        <v>#REF!</v>
      </c>
      <c r="O156" s="245" t="e">
        <f>+L156+L157</f>
        <v>#REF!</v>
      </c>
      <c r="P156" s="279" t="s">
        <v>358</v>
      </c>
      <c r="Q156" s="267"/>
      <c r="R156" s="3"/>
      <c r="S156" s="3"/>
      <c r="T156" s="3"/>
      <c r="U156" s="113"/>
    </row>
    <row r="157" spans="1:21" ht="15.75" customHeight="1">
      <c r="A157" s="168">
        <v>22</v>
      </c>
      <c r="B157" s="299">
        <f t="shared" si="15"/>
        <v>0</v>
      </c>
      <c r="C157" s="300">
        <f t="shared" ref="C157:C164" si="17">+ROUND(A157^2*3.14/1000000*7850/4,3)</f>
        <v>2.9830000000000001</v>
      </c>
      <c r="D157" s="301">
        <f t="shared" si="16"/>
        <v>0</v>
      </c>
      <c r="E157" s="169"/>
      <c r="F157" s="3"/>
      <c r="G157" s="3"/>
      <c r="H157" s="1537"/>
      <c r="I157" s="236" t="s">
        <v>463</v>
      </c>
      <c r="J157" s="27" t="e">
        <f>+P135</f>
        <v>#REF!</v>
      </c>
      <c r="K157" s="285" t="e">
        <f>+P139</f>
        <v>#REF!</v>
      </c>
      <c r="L157" s="238" t="e">
        <f>+(P137+P138)*2</f>
        <v>#REF!</v>
      </c>
      <c r="M157" s="239" t="e">
        <f t="shared" si="14"/>
        <v>#REF!</v>
      </c>
      <c r="N157" s="258"/>
      <c r="O157" s="258"/>
      <c r="P157" s="279" t="s">
        <v>361</v>
      </c>
      <c r="Q157" s="267"/>
      <c r="R157" s="3"/>
      <c r="S157" s="3"/>
      <c r="T157" s="3"/>
      <c r="U157" s="113"/>
    </row>
    <row r="158" spans="1:21" ht="15.75" customHeight="1">
      <c r="A158" s="168">
        <v>20</v>
      </c>
      <c r="B158" s="299">
        <f t="shared" si="15"/>
        <v>0</v>
      </c>
      <c r="C158" s="300">
        <f t="shared" si="17"/>
        <v>2.4649999999999999</v>
      </c>
      <c r="D158" s="301">
        <f t="shared" si="16"/>
        <v>0</v>
      </c>
      <c r="E158" s="169"/>
      <c r="F158" s="9"/>
      <c r="G158" s="3"/>
      <c r="H158" s="1537"/>
      <c r="I158" s="236" t="s">
        <v>464</v>
      </c>
      <c r="J158" s="27" t="e">
        <f>+S135</f>
        <v>#REF!</v>
      </c>
      <c r="K158" s="285">
        <f>+S139</f>
        <v>0</v>
      </c>
      <c r="L158" s="238" t="e">
        <f>+(S137+S138)*2</f>
        <v>#REF!</v>
      </c>
      <c r="M158" s="239" t="e">
        <f t="shared" si="14"/>
        <v>#REF!</v>
      </c>
      <c r="N158" s="3"/>
      <c r="O158" s="3"/>
      <c r="P158" s="279" t="s">
        <v>364</v>
      </c>
      <c r="Q158" s="3"/>
      <c r="R158" s="3"/>
      <c r="S158" s="3"/>
      <c r="T158" s="3"/>
      <c r="U158" s="113"/>
    </row>
    <row r="159" spans="1:21" ht="15.75" customHeight="1">
      <c r="A159" s="168">
        <v>18</v>
      </c>
      <c r="B159" s="299">
        <f t="shared" si="15"/>
        <v>0</v>
      </c>
      <c r="C159" s="300">
        <f t="shared" si="17"/>
        <v>1.9970000000000001</v>
      </c>
      <c r="D159" s="301">
        <f t="shared" si="16"/>
        <v>0</v>
      </c>
      <c r="E159" s="169"/>
      <c r="F159" s="3"/>
      <c r="G159" s="3"/>
      <c r="H159" s="1538"/>
      <c r="I159" s="236" t="s">
        <v>465</v>
      </c>
      <c r="J159" s="27" t="e">
        <f>+T135</f>
        <v>#REF!</v>
      </c>
      <c r="K159" s="285">
        <f>+T139</f>
        <v>0</v>
      </c>
      <c r="L159" s="238" t="e">
        <f>+(T137+T138)*2</f>
        <v>#REF!</v>
      </c>
      <c r="M159" s="239" t="e">
        <f t="shared" si="14"/>
        <v>#REF!</v>
      </c>
      <c r="N159" s="3"/>
      <c r="O159" s="3"/>
      <c r="P159" s="279" t="s">
        <v>366</v>
      </c>
      <c r="Q159" s="267"/>
      <c r="R159" s="3"/>
      <c r="S159" s="3"/>
      <c r="T159" s="3"/>
      <c r="U159" s="113"/>
    </row>
    <row r="160" spans="1:21">
      <c r="A160" s="168">
        <v>16</v>
      </c>
      <c r="B160" s="299">
        <f t="shared" si="15"/>
        <v>0</v>
      </c>
      <c r="C160" s="300">
        <f t="shared" si="17"/>
        <v>1.5780000000000001</v>
      </c>
      <c r="D160" s="301">
        <f>+ROUND(B160*C160,2)</f>
        <v>0</v>
      </c>
      <c r="E160" s="169"/>
      <c r="F160" s="9"/>
      <c r="G160" s="3"/>
      <c r="H160" s="235"/>
      <c r="I160" s="236">
        <v>6</v>
      </c>
      <c r="J160" s="232" t="e">
        <f>+I135</f>
        <v>#REF!</v>
      </c>
      <c r="K160" s="237" t="e">
        <f>+I139</f>
        <v>#REF!</v>
      </c>
      <c r="L160" s="238" t="e">
        <f>+I137*4</f>
        <v>#REF!</v>
      </c>
      <c r="M160" s="239" t="e">
        <f t="shared" si="14"/>
        <v>#REF!</v>
      </c>
      <c r="N160" s="3"/>
      <c r="O160" s="3"/>
      <c r="P160" s="266" t="s">
        <v>368</v>
      </c>
      <c r="Q160" s="267"/>
      <c r="R160" s="3"/>
      <c r="S160" s="3"/>
      <c r="T160" s="3"/>
      <c r="U160" s="113"/>
    </row>
    <row r="161" spans="1:21">
      <c r="A161" s="168">
        <v>14</v>
      </c>
      <c r="B161" s="299">
        <f t="shared" si="15"/>
        <v>0</v>
      </c>
      <c r="C161" s="300">
        <f t="shared" si="17"/>
        <v>1.208</v>
      </c>
      <c r="D161" s="301">
        <f t="shared" si="16"/>
        <v>0</v>
      </c>
      <c r="E161" s="169"/>
      <c r="F161" s="9"/>
      <c r="G161" s="3"/>
      <c r="H161" s="235"/>
      <c r="I161" s="236">
        <v>7</v>
      </c>
      <c r="J161" s="27" t="e">
        <f>+L135</f>
        <v>#REF!</v>
      </c>
      <c r="K161" s="237" t="e">
        <f>+L139</f>
        <v>#REF!</v>
      </c>
      <c r="L161" s="238" t="e">
        <f>+L137*4</f>
        <v>#REF!</v>
      </c>
      <c r="M161" s="239" t="e">
        <f t="shared" si="14"/>
        <v>#REF!</v>
      </c>
      <c r="N161" s="3"/>
      <c r="O161" s="3"/>
      <c r="P161" s="266" t="s">
        <v>377</v>
      </c>
      <c r="R161" s="3"/>
      <c r="S161" s="3"/>
      <c r="T161" s="3"/>
      <c r="U161" s="113"/>
    </row>
    <row r="162" spans="1:21">
      <c r="A162" s="168">
        <v>12</v>
      </c>
      <c r="B162" s="299">
        <f t="shared" si="15"/>
        <v>0</v>
      </c>
      <c r="C162" s="300">
        <f t="shared" si="17"/>
        <v>0.88700000000000001</v>
      </c>
      <c r="D162" s="301">
        <f t="shared" si="16"/>
        <v>0</v>
      </c>
      <c r="E162" s="169"/>
      <c r="F162" s="3"/>
      <c r="G162" s="3"/>
      <c r="H162" s="235"/>
      <c r="I162" s="236">
        <v>8</v>
      </c>
      <c r="J162" s="27">
        <v>10</v>
      </c>
      <c r="K162" s="237" t="e">
        <f>+C124-2*C130-2*G135/1000+0.1</f>
        <v>#REF!</v>
      </c>
      <c r="L162" s="238" t="e">
        <f>+ROUND(G137/2-0.5,0)*ROUND(J137/2-0.5,0)*4+ROUND(G137/2-0.5,0)*ROUND(K137/2-0.5,0)*4+ROUND(H137/2-0.5,0)*ROUND(J137/2-0.5,0)*4+ROUND(H137/2-0.5,0)*ROUND(K137/2-0.5,0)*4+ROUND(I137/2-0.5,0)*(ROUND(J137/2-0.5,0)+ROUND(K137/2-0.5,0))*2+ROUND(L137/2-0.5,0)*(ROUND(G137/2-0.5,0)+ROUND(H137/2-0.5,0))*2</f>
        <v>#REF!</v>
      </c>
      <c r="M162" s="239" t="e">
        <f t="shared" si="14"/>
        <v>#REF!</v>
      </c>
      <c r="N162" s="81" t="e">
        <f>+C124-2*C130-2*G135/1000</f>
        <v>#REF!</v>
      </c>
      <c r="O162" s="3"/>
      <c r="P162" s="266" t="s">
        <v>378</v>
      </c>
      <c r="Q162" s="267"/>
      <c r="R162" s="3"/>
      <c r="S162" s="3"/>
      <c r="T162" s="3"/>
      <c r="U162" s="113"/>
    </row>
    <row r="163" spans="1:21" ht="15.75" customHeight="1">
      <c r="A163" s="168">
        <v>10</v>
      </c>
      <c r="B163" s="299" t="e">
        <f t="shared" si="15"/>
        <v>#REF!</v>
      </c>
      <c r="C163" s="300">
        <f t="shared" si="17"/>
        <v>0.61599999999999999</v>
      </c>
      <c r="D163" s="365" t="e">
        <f>+ROUND(B163*C163,2)+D166</f>
        <v>#REF!</v>
      </c>
      <c r="E163" s="169"/>
      <c r="F163" s="11"/>
      <c r="G163" s="3"/>
      <c r="H163" s="1536">
        <v>9</v>
      </c>
      <c r="I163" s="236">
        <v>9</v>
      </c>
      <c r="J163" s="302">
        <v>10</v>
      </c>
      <c r="K163" s="237" t="e">
        <f>+(C128-2*C130+0.02)*2+(C125-2*C130+0.02)*2+0.06*2</f>
        <v>#REF!</v>
      </c>
      <c r="L163" s="303" t="e">
        <f>+G131</f>
        <v>#REF!</v>
      </c>
      <c r="M163" s="239" t="e">
        <f t="shared" si="14"/>
        <v>#REF!</v>
      </c>
      <c r="N163" s="81" t="e">
        <f>+(C128-2*C130+0.02)</f>
        <v>#REF!</v>
      </c>
      <c r="O163" s="12" t="e">
        <f>+(C125-2*C130+0.02)</f>
        <v>#REF!</v>
      </c>
      <c r="P163" s="266" t="s">
        <v>451</v>
      </c>
      <c r="Q163" s="267"/>
      <c r="R163" s="3"/>
      <c r="S163" s="3"/>
      <c r="T163" s="3"/>
      <c r="U163" s="113"/>
    </row>
    <row r="164" spans="1:21" ht="16.5" customHeight="1" thickBot="1">
      <c r="A164" s="304">
        <v>8</v>
      </c>
      <c r="B164" s="305">
        <f t="shared" si="15"/>
        <v>0</v>
      </c>
      <c r="C164" s="306">
        <f t="shared" si="17"/>
        <v>0.39400000000000002</v>
      </c>
      <c r="D164" s="307">
        <f t="shared" si="16"/>
        <v>0</v>
      </c>
      <c r="E164" s="308"/>
      <c r="F164" s="3"/>
      <c r="G164" s="3"/>
      <c r="H164" s="1537"/>
      <c r="I164" s="236" t="s">
        <v>380</v>
      </c>
      <c r="J164" s="302">
        <v>10</v>
      </c>
      <c r="K164" s="237" t="e">
        <f>+O164*2+N164*2+0.2</f>
        <v>#REF!</v>
      </c>
      <c r="L164" s="303" t="e">
        <f>+L163-12*4</f>
        <v>#REF!</v>
      </c>
      <c r="M164" s="239" t="e">
        <f t="shared" si="14"/>
        <v>#REF!</v>
      </c>
      <c r="N164" s="312">
        <v>0.35</v>
      </c>
      <c r="O164" s="12" t="e">
        <f>+(C125-2*C130+0.02)</f>
        <v>#REF!</v>
      </c>
      <c r="P164" s="266" t="s">
        <v>452</v>
      </c>
      <c r="Q164" s="267"/>
      <c r="R164" s="3"/>
      <c r="S164" s="3"/>
      <c r="T164" s="3"/>
      <c r="U164" s="113"/>
    </row>
    <row r="165" spans="1:21" ht="16.5" customHeight="1">
      <c r="A165" s="108"/>
      <c r="B165" s="309"/>
      <c r="C165" s="309"/>
      <c r="D165" s="123"/>
      <c r="E165" s="310"/>
      <c r="F165" s="3"/>
      <c r="G165" s="3"/>
      <c r="H165" s="1538"/>
      <c r="I165" s="236" t="s">
        <v>382</v>
      </c>
      <c r="J165" s="302">
        <v>10</v>
      </c>
      <c r="K165" s="237" t="e">
        <f>+N165+O165</f>
        <v>#REF!</v>
      </c>
      <c r="L165" s="303" t="e">
        <f>+L164*2</f>
        <v>#REF!</v>
      </c>
      <c r="M165" s="239" t="e">
        <f t="shared" si="14"/>
        <v>#REF!</v>
      </c>
      <c r="N165" s="81" t="e">
        <f>+N163+0.04</f>
        <v>#REF!</v>
      </c>
      <c r="O165" s="12">
        <f>2*0.06</f>
        <v>0.12</v>
      </c>
      <c r="P165" s="266" t="s">
        <v>450</v>
      </c>
      <c r="Q165" s="267"/>
      <c r="R165" s="3"/>
      <c r="S165" s="3"/>
      <c r="T165" s="3"/>
      <c r="U165" s="113"/>
    </row>
    <row r="166" spans="1:21">
      <c r="A166" s="108"/>
      <c r="B166" s="3"/>
      <c r="C166" s="3"/>
      <c r="D166" s="9">
        <v>100</v>
      </c>
      <c r="E166" s="3"/>
      <c r="F166" s="3"/>
      <c r="G166" s="3"/>
      <c r="H166" s="235"/>
      <c r="I166" s="236">
        <v>10</v>
      </c>
      <c r="J166" s="302">
        <v>10</v>
      </c>
      <c r="K166" s="237" t="e">
        <f>+(C127-2*C130+0.02)*4+0.06*2</f>
        <v>#REF!</v>
      </c>
      <c r="L166" s="311" t="e">
        <f>+(ROUND((C126-0.175)/0.25-0.5,0)+2)*4</f>
        <v>#REF!</v>
      </c>
      <c r="M166" s="239" t="e">
        <f t="shared" si="14"/>
        <v>#REF!</v>
      </c>
      <c r="N166" s="81" t="e">
        <f>+C127-2*C130+0.02</f>
        <v>#REF!</v>
      </c>
      <c r="O166" s="12"/>
      <c r="P166" s="3"/>
      <c r="Q166" s="267"/>
      <c r="R166" s="3"/>
      <c r="S166" s="3"/>
      <c r="T166" s="3"/>
      <c r="U166" s="113"/>
    </row>
    <row r="167" spans="1:21">
      <c r="A167" s="108"/>
      <c r="B167" s="3"/>
      <c r="C167" s="3"/>
      <c r="D167" s="9"/>
      <c r="E167" s="3"/>
      <c r="F167" s="3"/>
      <c r="G167" s="3"/>
      <c r="H167" s="235"/>
      <c r="I167" s="236">
        <v>11</v>
      </c>
      <c r="J167" s="302">
        <v>10</v>
      </c>
      <c r="K167" s="237">
        <f>N167*4+O167*4+0.06*2</f>
        <v>3.72</v>
      </c>
      <c r="L167" s="238" t="e">
        <f>+L166-4*2</f>
        <v>#REF!</v>
      </c>
      <c r="M167" s="239" t="e">
        <f t="shared" si="14"/>
        <v>#REF!</v>
      </c>
      <c r="N167" s="312">
        <v>0.9</v>
      </c>
      <c r="O167" s="313">
        <v>0</v>
      </c>
      <c r="P167" s="3"/>
      <c r="Q167" s="3"/>
      <c r="R167" s="3"/>
      <c r="S167" s="3"/>
      <c r="T167" s="3"/>
      <c r="U167" s="113"/>
    </row>
    <row r="168" spans="1:21" ht="13.5" thickBot="1">
      <c r="A168" s="108"/>
      <c r="B168" s="3"/>
      <c r="C168" s="3"/>
      <c r="D168" s="3"/>
      <c r="E168" s="3"/>
      <c r="F168" s="3"/>
      <c r="G168" s="3"/>
      <c r="H168" s="314"/>
      <c r="I168" s="315">
        <v>12</v>
      </c>
      <c r="J168" s="28">
        <v>10</v>
      </c>
      <c r="K168" s="316" t="e">
        <f>+N168+2*O168</f>
        <v>#REF!</v>
      </c>
      <c r="L168" s="317" t="e">
        <f>+F132*4</f>
        <v>#REF!</v>
      </c>
      <c r="M168" s="318" t="e">
        <f t="shared" si="14"/>
        <v>#REF!</v>
      </c>
      <c r="N168" s="319" t="e">
        <f>+C127-2*C130+0.035*2</f>
        <v>#REF!</v>
      </c>
      <c r="O168" s="320">
        <v>0.06</v>
      </c>
      <c r="P168" s="3"/>
      <c r="Q168" s="3"/>
      <c r="R168" s="3"/>
      <c r="S168" s="3"/>
      <c r="T168" s="3"/>
      <c r="U168" s="113"/>
    </row>
    <row r="169" spans="1:21">
      <c r="A169" s="108"/>
      <c r="B169" s="3"/>
      <c r="C169" s="3"/>
      <c r="D169" s="3"/>
      <c r="E169" s="3"/>
      <c r="F169" s="3"/>
      <c r="G169" s="3"/>
      <c r="R169" s="3"/>
      <c r="S169" s="3"/>
      <c r="T169" s="3"/>
      <c r="U169" s="113"/>
    </row>
    <row r="170" spans="1:21">
      <c r="A170" s="108"/>
      <c r="B170" s="230"/>
      <c r="C170" s="309"/>
      <c r="D170" s="123"/>
      <c r="E170" s="3"/>
      <c r="F170" s="3"/>
      <c r="G170" s="3"/>
      <c r="H170" s="22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113"/>
    </row>
    <row r="171" spans="1:21">
      <c r="A171" s="108"/>
      <c r="B171" s="3"/>
      <c r="C171" s="3"/>
      <c r="D171" s="3"/>
      <c r="E171" s="3"/>
      <c r="F171" s="3"/>
      <c r="G171" s="3"/>
      <c r="H171" s="22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113"/>
    </row>
    <row r="172" spans="1:21">
      <c r="A172" s="10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113"/>
    </row>
    <row r="173" spans="1:21">
      <c r="A173" s="321" t="s">
        <v>384</v>
      </c>
      <c r="B173" s="359" t="e">
        <f>+#REF!</f>
        <v>#REF!</v>
      </c>
      <c r="C173" s="359" t="e">
        <f>+#REF!</f>
        <v>#REF!</v>
      </c>
      <c r="D173" s="322" t="e">
        <f>+C126-C124</f>
        <v>#REF!</v>
      </c>
      <c r="E173" s="180"/>
      <c r="F173" s="180"/>
      <c r="G173" s="360" t="e">
        <f>+(B173*B173+C173*C173+(B173+C173)*(B173+C173))*D173/6*4</f>
        <v>#REF!</v>
      </c>
      <c r="H173" s="22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113"/>
    </row>
    <row r="174" spans="1:21">
      <c r="A174" s="231" t="s">
        <v>448</v>
      </c>
      <c r="B174" s="233"/>
      <c r="C174" s="233"/>
      <c r="D174" s="233"/>
      <c r="E174" s="233"/>
      <c r="F174" s="233"/>
      <c r="G174" s="361" t="e">
        <f>+G143</f>
        <v>#REF!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113"/>
    </row>
    <row r="175" spans="1:21">
      <c r="A175" s="323" t="s">
        <v>449</v>
      </c>
      <c r="B175" s="27" t="e">
        <f>+B144</f>
        <v>#REF!</v>
      </c>
      <c r="C175" s="324" t="e">
        <f>+C144</f>
        <v>#REF!</v>
      </c>
      <c r="D175" s="324" t="e">
        <f>+D144</f>
        <v>#REF!</v>
      </c>
      <c r="E175" s="324" t="e">
        <f>+E144</f>
        <v>#REF!</v>
      </c>
      <c r="F175" s="302">
        <v>0.3</v>
      </c>
      <c r="G175" s="362" t="e">
        <f>+(B175*C175*(D175-2*C173)+B175*C175*(E175-2*C173))*2</f>
        <v>#REF!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113"/>
    </row>
    <row r="176" spans="1:21">
      <c r="A176" s="325"/>
      <c r="B176" s="182"/>
      <c r="C176" s="182"/>
      <c r="D176" s="182"/>
      <c r="E176" s="182"/>
      <c r="F176" s="182"/>
      <c r="G176" s="363" t="e">
        <f>+F175*C175/2*B175*8</f>
        <v>#REF!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113"/>
    </row>
    <row r="177" spans="1:21">
      <c r="A177" s="108"/>
      <c r="B177" s="3"/>
      <c r="C177" s="3"/>
      <c r="D177" s="3"/>
      <c r="E177" s="3"/>
      <c r="F177" s="3" t="s">
        <v>387</v>
      </c>
      <c r="G177" s="123" t="e">
        <f>+SUM(G173:G176)</f>
        <v>#REF!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113"/>
    </row>
    <row r="178" spans="1:21">
      <c r="A178" s="10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113"/>
    </row>
  </sheetData>
  <mergeCells count="12">
    <mergeCell ref="M132:P132"/>
    <mergeCell ref="Q132:T132"/>
    <mergeCell ref="S133:T133"/>
    <mergeCell ref="O133:P133"/>
    <mergeCell ref="H148:H153"/>
    <mergeCell ref="H163:H165"/>
    <mergeCell ref="Q133:R133"/>
    <mergeCell ref="A137:A138"/>
    <mergeCell ref="G133:I133"/>
    <mergeCell ref="J133:L133"/>
    <mergeCell ref="M133:N133"/>
    <mergeCell ref="H154:H159"/>
  </mergeCells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/>
  <dimension ref="A1:X185"/>
  <sheetViews>
    <sheetView view="pageBreakPreview" topLeftCell="A19" zoomScale="70" zoomScaleNormal="100" zoomScaleSheetLayoutView="70" workbookViewId="0">
      <selection activeCell="C3" sqref="C3:F3"/>
    </sheetView>
  </sheetViews>
  <sheetFormatPr defaultColWidth="9.09765625" defaultRowHeight="19.899999999999999" customHeight="1"/>
  <cols>
    <col min="1" max="10" width="10.69921875" style="1" customWidth="1"/>
    <col min="11" max="11" width="10.69921875" style="3" customWidth="1"/>
    <col min="12" max="12" width="10.69921875" style="2" customWidth="1"/>
    <col min="13" max="13" width="6.59765625" style="3" customWidth="1"/>
    <col min="14" max="16" width="9.09765625" style="3"/>
    <col min="17" max="16384" width="9.09765625" style="1"/>
  </cols>
  <sheetData>
    <row r="1" spans="1:11" ht="19.899999999999999" customHeight="1">
      <c r="A1" s="6"/>
      <c r="B1" s="375"/>
      <c r="C1" s="376"/>
      <c r="D1" s="398"/>
      <c r="E1" s="376"/>
      <c r="F1" s="376"/>
      <c r="G1" s="376"/>
      <c r="H1" s="376"/>
      <c r="I1" s="377"/>
    </row>
    <row r="2" spans="1:11" ht="19.899999999999999" customHeight="1">
      <c r="A2" s="6"/>
      <c r="B2" s="375"/>
      <c r="C2" s="376"/>
      <c r="D2" s="378"/>
      <c r="E2" s="376"/>
      <c r="F2" s="376"/>
      <c r="G2" s="379"/>
      <c r="H2" s="376"/>
    </row>
    <row r="3" spans="1:11" ht="19.899999999999999" customHeight="1">
      <c r="A3" s="6"/>
      <c r="B3" s="375"/>
      <c r="E3" s="376"/>
      <c r="F3" s="380"/>
      <c r="G3" s="381"/>
      <c r="H3" s="376"/>
      <c r="I3" s="382"/>
    </row>
    <row r="4" spans="1:11" ht="19.899999999999999" customHeight="1">
      <c r="A4" s="6"/>
      <c r="B4" s="375"/>
      <c r="C4" s="376"/>
      <c r="D4" s="378"/>
      <c r="F4" s="380"/>
      <c r="G4" s="381"/>
      <c r="I4" s="399"/>
    </row>
    <row r="5" spans="1:11" ht="19.899999999999999" customHeight="1">
      <c r="A5" s="6"/>
      <c r="B5" s="376"/>
      <c r="C5" s="378"/>
      <c r="D5" s="378"/>
      <c r="E5" s="380"/>
      <c r="F5" s="380"/>
      <c r="G5" s="386"/>
      <c r="H5" s="387"/>
      <c r="I5" s="399"/>
    </row>
    <row r="7" spans="1:11" ht="19.899999999999999" customHeight="1">
      <c r="F7" s="388"/>
      <c r="J7" s="5"/>
      <c r="K7" s="9"/>
    </row>
    <row r="8" spans="1:11" ht="19.899999999999999" customHeight="1">
      <c r="F8" s="388"/>
      <c r="G8" s="100"/>
      <c r="H8" s="100"/>
      <c r="J8" s="5"/>
      <c r="K8" s="9"/>
    </row>
    <row r="9" spans="1:11" ht="19.899999999999999" customHeight="1">
      <c r="A9" s="3"/>
      <c r="E9" s="3"/>
      <c r="F9" s="388"/>
      <c r="K9" s="9"/>
    </row>
    <row r="10" spans="1:11" ht="19.899999999999999" customHeight="1">
      <c r="F10" s="389"/>
      <c r="J10" s="5"/>
      <c r="K10" s="9"/>
    </row>
    <row r="11" spans="1:11" ht="19.899999999999999" customHeight="1">
      <c r="F11" s="389"/>
      <c r="G11" s="390"/>
      <c r="H11" s="390"/>
      <c r="J11" s="5"/>
      <c r="K11" s="9"/>
    </row>
    <row r="12" spans="1:11" ht="19.899999999999999" customHeight="1">
      <c r="C12" s="391"/>
      <c r="J12" s="5"/>
      <c r="K12" s="9"/>
    </row>
    <row r="13" spans="1:11" ht="19.899999999999999" customHeight="1">
      <c r="K13" s="9"/>
    </row>
    <row r="14" spans="1:11" ht="19.899999999999999" customHeight="1">
      <c r="B14" s="392"/>
      <c r="E14" s="393"/>
      <c r="F14" s="394"/>
      <c r="J14" s="5"/>
      <c r="K14" s="9"/>
    </row>
    <row r="18" spans="1:12" ht="19.899999999999999" customHeight="1">
      <c r="K18" s="9"/>
    </row>
    <row r="19" spans="1:12" ht="19.899999999999999" customHeight="1">
      <c r="A19" s="1562" t="str">
        <f>"TÍNH TOÁN MÓNG CỘT " &amp;'N411-20'!C3</f>
        <v>TÍNH TOÁN MÓNG CỘT D411-25</v>
      </c>
      <c r="B19" s="1562"/>
      <c r="C19" s="1562"/>
      <c r="D19" s="1562"/>
      <c r="E19" s="1562"/>
      <c r="F19" s="1562"/>
      <c r="G19" s="1562"/>
      <c r="H19" s="1562"/>
      <c r="I19" s="1562"/>
      <c r="J19" s="1562"/>
      <c r="K19" s="1562"/>
    </row>
    <row r="20" spans="1:12" ht="19.899999999999999" customHeight="1">
      <c r="A20" s="6"/>
      <c r="B20" s="400"/>
      <c r="C20" s="400"/>
      <c r="D20" s="667"/>
      <c r="E20" s="6"/>
      <c r="F20" s="6"/>
      <c r="G20" s="6"/>
      <c r="H20" s="6"/>
      <c r="I20" s="6"/>
      <c r="J20" s="668"/>
      <c r="K20" s="257"/>
    </row>
    <row r="21" spans="1:12" ht="19.899999999999999" customHeight="1">
      <c r="A21" s="1563" t="str">
        <f>"MÓNG " &amp;'N411-20'!J3</f>
        <v>MÓNG MB 2.6-5x6</v>
      </c>
      <c r="B21" s="1563"/>
      <c r="C21" s="1563"/>
      <c r="D21" s="1563"/>
      <c r="E21" s="1563"/>
      <c r="F21" s="1563"/>
      <c r="G21" s="1563"/>
      <c r="H21" s="1563"/>
      <c r="I21" s="1563"/>
      <c r="J21" s="1563"/>
      <c r="K21" s="1563"/>
    </row>
    <row r="25" spans="1:12" ht="19.899999999999999" customHeight="1">
      <c r="J25" s="5"/>
      <c r="K25" s="11"/>
    </row>
    <row r="26" spans="1:12" ht="36.65" customHeight="1">
      <c r="L26" s="1194"/>
    </row>
    <row r="27" spans="1:12" ht="19.899999999999999" customHeight="1">
      <c r="L27" s="401"/>
    </row>
    <row r="28" spans="1:12" ht="31.9" customHeight="1">
      <c r="L28" s="1195"/>
    </row>
    <row r="29" spans="1:12" ht="19.899999999999999" customHeight="1">
      <c r="A29" s="4"/>
      <c r="F29" s="100"/>
    </row>
    <row r="30" spans="1:12" ht="19.899999999999999" customHeight="1">
      <c r="B30" s="5"/>
      <c r="C30" s="100"/>
      <c r="E30" s="100"/>
      <c r="J30" s="5"/>
      <c r="K30" s="11"/>
    </row>
    <row r="31" spans="1:12" ht="19.899999999999999" customHeight="1">
      <c r="B31" s="5"/>
      <c r="C31" s="100"/>
      <c r="E31" s="5"/>
      <c r="F31" s="395"/>
    </row>
    <row r="32" spans="1:12" ht="19.899999999999999" customHeight="1">
      <c r="B32" s="5"/>
      <c r="C32" s="100"/>
      <c r="E32" s="5"/>
      <c r="F32" s="395"/>
      <c r="J32" s="5"/>
      <c r="K32" s="385"/>
    </row>
    <row r="33" spans="1:11" ht="19.899999999999999" customHeight="1">
      <c r="B33" s="5"/>
      <c r="C33" s="100"/>
      <c r="E33" s="100"/>
    </row>
    <row r="34" spans="1:11" ht="19.899999999999999" customHeight="1">
      <c r="B34" s="5"/>
      <c r="C34" s="100"/>
      <c r="E34" s="100"/>
      <c r="J34" s="5"/>
      <c r="K34" s="385"/>
    </row>
    <row r="35" spans="1:11" ht="19.899999999999999" customHeight="1">
      <c r="B35" s="5"/>
      <c r="C35" s="100"/>
      <c r="E35" s="100"/>
      <c r="K35" s="385"/>
    </row>
    <row r="36" spans="1:11" ht="19.899999999999999" customHeight="1">
      <c r="B36" s="5"/>
      <c r="C36" s="100"/>
      <c r="E36" s="100"/>
      <c r="J36" s="5"/>
      <c r="K36" s="385"/>
    </row>
    <row r="37" spans="1:11" ht="19.899999999999999" customHeight="1">
      <c r="C37" s="100"/>
      <c r="E37" s="100"/>
    </row>
    <row r="38" spans="1:11" ht="19.899999999999999" customHeight="1">
      <c r="C38" s="100"/>
      <c r="J38" s="5"/>
      <c r="K38" s="9"/>
    </row>
    <row r="39" spans="1:11" ht="19.899999999999999" customHeight="1">
      <c r="A39" s="382"/>
    </row>
    <row r="40" spans="1:11" ht="19.899999999999999" customHeight="1">
      <c r="B40" s="5"/>
      <c r="C40" s="100"/>
      <c r="J40" s="5"/>
      <c r="K40" s="9"/>
    </row>
    <row r="41" spans="1:11" ht="19.899999999999999" customHeight="1">
      <c r="B41" s="5"/>
      <c r="C41" s="100"/>
    </row>
    <row r="42" spans="1:11" ht="19.899999999999999" customHeight="1">
      <c r="B42" s="5"/>
      <c r="C42" s="100"/>
      <c r="J42" s="5"/>
      <c r="K42" s="11"/>
    </row>
    <row r="43" spans="1:11" ht="19.899999999999999" customHeight="1">
      <c r="B43" s="5"/>
      <c r="C43" s="100"/>
      <c r="E43" s="5"/>
      <c r="F43" s="100"/>
      <c r="J43" s="5"/>
      <c r="K43" s="385"/>
    </row>
    <row r="44" spans="1:11" ht="19.899999999999999" customHeight="1">
      <c r="B44" s="5"/>
      <c r="C44" s="100"/>
      <c r="E44" s="5"/>
      <c r="F44" s="100"/>
    </row>
    <row r="45" spans="1:11" ht="19.899999999999999" customHeight="1">
      <c r="B45" s="5"/>
      <c r="J45" s="5"/>
      <c r="K45" s="11"/>
    </row>
    <row r="46" spans="1:11" ht="19.899999999999999" customHeight="1">
      <c r="B46" s="5"/>
      <c r="C46" s="100"/>
      <c r="E46" s="5"/>
      <c r="F46" s="100"/>
      <c r="G46" s="2"/>
      <c r="H46" s="11"/>
      <c r="J46" s="396"/>
      <c r="K46" s="11"/>
    </row>
    <row r="47" spans="1:11" ht="19.899999999999999" customHeight="1">
      <c r="B47" s="5"/>
      <c r="C47" s="100"/>
      <c r="E47" s="5"/>
      <c r="F47" s="100"/>
      <c r="G47" s="2"/>
      <c r="H47" s="11"/>
      <c r="K47" s="11"/>
    </row>
    <row r="48" spans="1:11" ht="19.899999999999999" customHeight="1">
      <c r="A48" s="397"/>
    </row>
    <row r="49" spans="1:24" ht="19.899999999999999" customHeight="1">
      <c r="A49" s="6"/>
      <c r="B49" s="6"/>
      <c r="C49" s="6"/>
      <c r="D49" s="3"/>
      <c r="E49" s="3"/>
      <c r="F49" s="6"/>
      <c r="G49" s="6"/>
      <c r="H49" s="6"/>
      <c r="I49" s="383"/>
      <c r="J49" s="3"/>
      <c r="L49" s="3"/>
    </row>
    <row r="50" spans="1:24" ht="19.899999999999999" customHeight="1">
      <c r="A50" s="6"/>
      <c r="B50" s="6"/>
      <c r="C50" s="6"/>
      <c r="D50" s="3"/>
      <c r="E50" s="3"/>
      <c r="F50" s="6"/>
      <c r="G50" s="6"/>
      <c r="H50" s="6"/>
      <c r="I50" s="3"/>
      <c r="J50" s="3"/>
      <c r="L50" s="3"/>
    </row>
    <row r="51" spans="1:24" ht="19.899999999999999" customHeight="1">
      <c r="D51" s="385"/>
      <c r="E51" s="3"/>
      <c r="I51" s="3"/>
      <c r="J51" s="3"/>
      <c r="L51" s="372"/>
    </row>
    <row r="52" spans="1:24" ht="19.899999999999999" customHeight="1">
      <c r="A52" s="3"/>
      <c r="B52" s="384"/>
      <c r="C52" s="384"/>
      <c r="D52" s="385"/>
      <c r="E52" s="3"/>
      <c r="F52" s="3"/>
      <c r="G52" s="373"/>
      <c r="H52" s="373"/>
      <c r="I52" s="9"/>
      <c r="J52" s="3"/>
      <c r="L52" s="372"/>
      <c r="M52" s="9"/>
    </row>
    <row r="53" spans="1:24" ht="19.899999999999999" customHeight="1">
      <c r="A53" s="3"/>
      <c r="D53" s="385"/>
      <c r="E53" s="3"/>
      <c r="F53" s="3"/>
      <c r="G53" s="373"/>
      <c r="H53" s="373"/>
      <c r="I53" s="3"/>
      <c r="J53" s="3"/>
      <c r="L53" s="372"/>
      <c r="M53" s="9"/>
    </row>
    <row r="54" spans="1:24" s="6" customFormat="1" ht="19.899999999999999" customHeight="1">
      <c r="A54" s="258"/>
      <c r="B54" s="384"/>
      <c r="C54" s="384"/>
      <c r="D54" s="385"/>
      <c r="E54" s="3"/>
      <c r="F54" s="3"/>
      <c r="G54" s="373"/>
      <c r="H54" s="373"/>
      <c r="I54" s="9"/>
      <c r="J54" s="3"/>
      <c r="K54" s="3"/>
      <c r="L54" s="374"/>
      <c r="M54" s="370"/>
      <c r="N54" s="258"/>
      <c r="O54" s="258"/>
      <c r="P54" s="258"/>
    </row>
    <row r="55" spans="1:24" ht="19.899999999999999" customHeight="1">
      <c r="B55" s="384"/>
      <c r="C55" s="384"/>
      <c r="D55" s="385"/>
      <c r="E55" s="3"/>
      <c r="F55" s="3"/>
      <c r="I55" s="9"/>
      <c r="J55" s="3"/>
      <c r="L55" s="372"/>
      <c r="M55" s="9"/>
    </row>
    <row r="56" spans="1:24" ht="19.899999999999999" customHeight="1">
      <c r="A56" s="4"/>
    </row>
    <row r="57" spans="1:24" ht="19.899999999999999" customHeight="1">
      <c r="A57" s="4"/>
    </row>
    <row r="58" spans="1:24" s="3" customFormat="1" ht="19.899999999999999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7"/>
      <c r="L58" s="25"/>
      <c r="M58" s="17"/>
      <c r="Q58" s="1"/>
      <c r="R58" s="1"/>
      <c r="S58" s="1"/>
      <c r="T58" s="1"/>
      <c r="U58" s="1"/>
      <c r="V58" s="1"/>
      <c r="W58" s="1"/>
      <c r="X58" s="1"/>
    </row>
    <row r="59" spans="1:24" s="3" customFormat="1" ht="19.899999999999999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7"/>
      <c r="L59" s="25"/>
      <c r="M59" s="17"/>
      <c r="Q59" s="1"/>
      <c r="R59" s="1"/>
      <c r="S59" s="1"/>
      <c r="T59" s="1"/>
      <c r="U59" s="1"/>
      <c r="V59" s="1"/>
      <c r="W59" s="1"/>
      <c r="X59" s="1"/>
    </row>
    <row r="60" spans="1:24" s="3" customFormat="1" ht="19.899999999999999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7"/>
      <c r="L60" s="25"/>
      <c r="M60" s="17"/>
      <c r="Q60" s="1"/>
      <c r="R60" s="1"/>
      <c r="S60" s="1"/>
      <c r="T60" s="1"/>
      <c r="U60" s="1"/>
      <c r="V60" s="1"/>
      <c r="W60" s="1"/>
      <c r="X60" s="1"/>
    </row>
    <row r="61" spans="1:24" s="3" customFormat="1" ht="19.899999999999999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7"/>
      <c r="L61" s="25"/>
      <c r="M61" s="17"/>
      <c r="Q61" s="1"/>
      <c r="R61" s="1"/>
      <c r="S61" s="1"/>
      <c r="T61" s="1"/>
      <c r="U61" s="1"/>
      <c r="V61" s="1"/>
      <c r="W61" s="1"/>
      <c r="X61" s="1"/>
    </row>
    <row r="62" spans="1:24" s="3" customFormat="1" ht="19.899999999999999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7"/>
      <c r="L62" s="25"/>
      <c r="M62" s="17"/>
      <c r="Q62" s="1"/>
      <c r="R62" s="1"/>
      <c r="S62" s="1"/>
      <c r="T62" s="1"/>
      <c r="U62" s="1"/>
      <c r="V62" s="1"/>
      <c r="W62" s="1"/>
      <c r="X62" s="1"/>
    </row>
    <row r="63" spans="1:24" s="3" customFormat="1" ht="19.899999999999999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7"/>
      <c r="L63" s="25"/>
      <c r="M63" s="17"/>
      <c r="Q63" s="1"/>
      <c r="R63" s="1"/>
      <c r="S63" s="1"/>
      <c r="T63" s="1"/>
      <c r="U63" s="1"/>
      <c r="V63" s="1"/>
      <c r="W63" s="1"/>
      <c r="X63" s="1"/>
    </row>
    <row r="64" spans="1:24" s="3" customFormat="1" ht="19.899999999999999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7"/>
      <c r="L64" s="25"/>
      <c r="M64" s="17"/>
      <c r="Q64" s="1"/>
      <c r="R64" s="1"/>
      <c r="S64" s="1"/>
      <c r="T64" s="1"/>
      <c r="U64" s="1"/>
      <c r="V64" s="1"/>
      <c r="W64" s="1"/>
      <c r="X64" s="1"/>
    </row>
    <row r="65" spans="1:24" ht="19.899999999999999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7"/>
      <c r="L65" s="25"/>
      <c r="M65" s="17"/>
    </row>
    <row r="66" spans="1:24" ht="19.899999999999999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7"/>
      <c r="L66" s="25"/>
      <c r="M66" s="17"/>
    </row>
    <row r="67" spans="1:24" ht="19.899999999999999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7"/>
      <c r="L67" s="25"/>
      <c r="M67" s="17"/>
    </row>
    <row r="68" spans="1:24" ht="19.899999999999999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7"/>
      <c r="L68" s="25"/>
      <c r="M68" s="17"/>
    </row>
    <row r="69" spans="1:24" ht="19.899999999999999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7"/>
      <c r="L69" s="25"/>
      <c r="M69" s="17"/>
    </row>
    <row r="70" spans="1:24" ht="19.899999999999999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7"/>
      <c r="L70" s="25"/>
      <c r="M70" s="17"/>
    </row>
    <row r="71" spans="1:24" ht="19.899999999999999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7"/>
      <c r="L71" s="25"/>
      <c r="M71" s="17"/>
    </row>
    <row r="72" spans="1:24" ht="19.899999999999999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7"/>
      <c r="L72" s="25"/>
      <c r="M72" s="17"/>
    </row>
    <row r="73" spans="1:24" ht="19.899999999999999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7"/>
      <c r="L73" s="25"/>
      <c r="M73" s="17"/>
    </row>
    <row r="74" spans="1:24" ht="19.899999999999999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7"/>
      <c r="L74" s="25"/>
      <c r="M74" s="17"/>
    </row>
    <row r="75" spans="1:24" ht="19.899999999999999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7"/>
      <c r="L75" s="25"/>
      <c r="M75" s="17"/>
    </row>
    <row r="76" spans="1:24" ht="19.899999999999999" customHeight="1" thickBo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7"/>
      <c r="L76" s="25"/>
      <c r="M76" s="17"/>
    </row>
    <row r="77" spans="1:24" ht="19.899999999999999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7"/>
      <c r="M77" s="62"/>
      <c r="N77" s="41"/>
      <c r="O77" s="41"/>
      <c r="P77" s="64"/>
      <c r="Q77" s="17"/>
      <c r="R77" s="13"/>
      <c r="S77" s="13"/>
      <c r="T77" s="13"/>
      <c r="U77" s="13"/>
      <c r="V77" s="13"/>
      <c r="W77" s="13"/>
      <c r="X77" s="13"/>
    </row>
    <row r="78" spans="1:24" ht="19.899999999999999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7"/>
      <c r="M78" s="65"/>
      <c r="N78" s="17"/>
      <c r="O78" s="17"/>
      <c r="P78" s="31"/>
      <c r="Q78" s="17"/>
      <c r="R78" s="13"/>
      <c r="S78" s="13"/>
      <c r="T78" s="13"/>
      <c r="U78" s="13"/>
      <c r="V78" s="13"/>
      <c r="W78" s="13"/>
      <c r="X78" s="13"/>
    </row>
    <row r="79" spans="1:24" ht="19.899999999999999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7"/>
      <c r="M79" s="65"/>
      <c r="N79" s="17"/>
      <c r="O79" s="17"/>
      <c r="P79" s="31"/>
      <c r="Q79" s="17"/>
      <c r="R79" s="13"/>
      <c r="S79" s="13"/>
      <c r="T79" s="13"/>
      <c r="U79" s="13"/>
      <c r="V79" s="13"/>
      <c r="W79" s="13"/>
      <c r="X79" s="13"/>
    </row>
    <row r="80" spans="1:24" ht="19.899999999999999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7"/>
      <c r="M80" s="65"/>
      <c r="N80" s="17"/>
      <c r="O80" s="17"/>
      <c r="P80" s="31"/>
      <c r="Q80" s="17"/>
      <c r="R80" s="13"/>
      <c r="S80" s="13"/>
      <c r="T80" s="13"/>
      <c r="U80" s="13"/>
      <c r="V80" s="13"/>
      <c r="W80" s="13"/>
      <c r="X80" s="13"/>
    </row>
    <row r="81" spans="1:24" ht="19.899999999999999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7"/>
      <c r="M81" s="65"/>
      <c r="N81" s="17"/>
      <c r="O81" s="17"/>
      <c r="P81" s="66"/>
      <c r="Q81" s="17"/>
      <c r="R81" s="13"/>
      <c r="S81" s="13"/>
      <c r="T81" s="13"/>
      <c r="U81" s="13"/>
      <c r="V81" s="13"/>
      <c r="W81" s="13"/>
      <c r="X81" s="13"/>
    </row>
    <row r="82" spans="1:24" ht="19.899999999999999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7"/>
      <c r="M82" s="65"/>
      <c r="N82" s="17"/>
      <c r="O82" s="17"/>
      <c r="P82" s="67"/>
      <c r="Q82" s="17"/>
      <c r="R82" s="13"/>
      <c r="S82" s="13"/>
      <c r="T82" s="13"/>
      <c r="U82" s="13"/>
      <c r="V82" s="13"/>
      <c r="W82" s="13"/>
      <c r="X82" s="13"/>
    </row>
    <row r="83" spans="1:24" ht="19.899999999999999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7"/>
      <c r="M83" s="65"/>
      <c r="N83" s="17"/>
      <c r="O83" s="17"/>
      <c r="P83" s="68"/>
      <c r="Q83" s="17"/>
      <c r="R83" s="23"/>
      <c r="S83" s="24"/>
      <c r="T83" s="24"/>
      <c r="U83" s="24"/>
      <c r="V83" s="24"/>
      <c r="W83" s="13"/>
      <c r="X83" s="13"/>
    </row>
    <row r="84" spans="1:24" ht="19.899999999999999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7"/>
      <c r="M84" s="65"/>
      <c r="N84" s="17"/>
      <c r="O84" s="17"/>
      <c r="P84" s="31"/>
      <c r="Q84" s="17"/>
      <c r="R84" s="13"/>
      <c r="S84" s="13"/>
      <c r="T84" s="13"/>
      <c r="U84" s="13"/>
      <c r="V84" s="13"/>
      <c r="W84" s="13"/>
      <c r="X84" s="13"/>
    </row>
    <row r="85" spans="1:24" ht="19.899999999999999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7"/>
      <c r="M85" s="65"/>
      <c r="N85" s="17"/>
      <c r="O85" s="17"/>
      <c r="P85" s="31"/>
      <c r="Q85" s="17"/>
      <c r="R85" s="13"/>
      <c r="S85" s="13"/>
      <c r="T85" s="13"/>
      <c r="U85" s="13"/>
      <c r="V85" s="13"/>
      <c r="W85" s="13"/>
      <c r="X85" s="13"/>
    </row>
    <row r="86" spans="1:24" ht="19.899999999999999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7"/>
      <c r="M86" s="65"/>
      <c r="N86" s="17"/>
      <c r="O86" s="17"/>
      <c r="P86" s="31"/>
      <c r="Q86" s="17"/>
      <c r="R86" s="13"/>
      <c r="S86" s="13"/>
      <c r="T86" s="13"/>
      <c r="U86" s="13"/>
      <c r="V86" s="13"/>
      <c r="W86" s="13"/>
      <c r="X86" s="13"/>
    </row>
    <row r="87" spans="1:24" ht="19.899999999999999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7"/>
      <c r="M87" s="65"/>
      <c r="N87" s="17"/>
      <c r="O87" s="17"/>
      <c r="P87" s="31"/>
      <c r="Q87" s="17"/>
      <c r="R87" s="13"/>
      <c r="S87" s="13"/>
      <c r="T87" s="13"/>
      <c r="U87" s="13"/>
      <c r="V87" s="13"/>
      <c r="W87" s="13"/>
      <c r="X87" s="13"/>
    </row>
    <row r="88" spans="1:24" ht="19.899999999999999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7"/>
      <c r="M88" s="65"/>
      <c r="N88" s="17"/>
      <c r="O88" s="17"/>
      <c r="P88" s="31"/>
      <c r="Q88" s="17"/>
      <c r="R88" s="13"/>
      <c r="S88" s="13"/>
      <c r="T88" s="13"/>
      <c r="U88" s="13"/>
      <c r="V88" s="13"/>
      <c r="W88" s="13"/>
      <c r="X88" s="13"/>
    </row>
    <row r="89" spans="1:24" ht="19.899999999999999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7"/>
      <c r="M89" s="65"/>
      <c r="N89" s="17"/>
      <c r="O89" s="17"/>
      <c r="P89" s="31"/>
      <c r="Q89" s="17"/>
      <c r="R89" s="13"/>
      <c r="S89" s="14"/>
      <c r="T89" s="14"/>
      <c r="U89" s="13"/>
      <c r="V89" s="13"/>
      <c r="W89" s="13"/>
      <c r="X89" s="13"/>
    </row>
    <row r="90" spans="1:24" ht="19.899999999999999" customHeight="1" thickBo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7"/>
      <c r="M90" s="65"/>
      <c r="N90" s="17"/>
      <c r="O90" s="17"/>
      <c r="P90" s="31"/>
      <c r="Q90" s="17"/>
      <c r="R90" s="13"/>
      <c r="S90" s="14"/>
      <c r="T90" s="14"/>
      <c r="U90" s="13"/>
      <c r="V90" s="13"/>
      <c r="W90" s="13"/>
      <c r="X90" s="13"/>
    </row>
    <row r="91" spans="1:24" ht="19.899999999999999" customHeight="1" thickBo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7"/>
      <c r="M91" s="65"/>
      <c r="N91" s="1560"/>
      <c r="O91" s="1561"/>
      <c r="P91" s="66"/>
      <c r="Q91" s="17"/>
      <c r="R91" s="13"/>
      <c r="S91" s="14"/>
      <c r="T91" s="14"/>
      <c r="U91" s="13"/>
      <c r="V91" s="13"/>
      <c r="W91" s="13"/>
      <c r="X91" s="13"/>
    </row>
    <row r="92" spans="1:24" ht="19.899999999999999" customHeight="1" thickBo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7"/>
      <c r="M92" s="65"/>
      <c r="N92" s="1556"/>
      <c r="O92" s="1557"/>
      <c r="P92" s="31"/>
      <c r="Q92" s="17"/>
      <c r="R92" s="13"/>
      <c r="S92" s="14"/>
      <c r="T92" s="14"/>
      <c r="U92" s="13"/>
      <c r="V92" s="13"/>
      <c r="W92" s="13"/>
      <c r="X92" s="13"/>
    </row>
    <row r="93" spans="1:24" ht="19.899999999999999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7"/>
      <c r="M93" s="44"/>
      <c r="N93" s="19"/>
      <c r="O93" s="18"/>
      <c r="P93" s="31"/>
      <c r="Q93" s="17"/>
      <c r="R93" s="13"/>
      <c r="S93" s="14"/>
      <c r="T93" s="14"/>
      <c r="U93" s="13"/>
      <c r="V93" s="13"/>
      <c r="W93" s="13"/>
      <c r="X93" s="13"/>
    </row>
    <row r="94" spans="1:24" ht="19.899999999999999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7"/>
      <c r="M94" s="45"/>
      <c r="N94" s="58"/>
      <c r="O94" s="32"/>
      <c r="P94" s="31"/>
      <c r="Q94" s="17"/>
      <c r="R94" s="13"/>
      <c r="S94" s="14"/>
      <c r="T94" s="14"/>
      <c r="U94" s="13"/>
      <c r="V94" s="13"/>
      <c r="W94" s="13"/>
      <c r="X94" s="13"/>
    </row>
    <row r="95" spans="1:24" ht="19.899999999999999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7"/>
      <c r="M95" s="46"/>
      <c r="N95" s="34"/>
      <c r="O95" s="32"/>
      <c r="P95" s="31"/>
      <c r="Q95" s="17"/>
      <c r="R95" s="13"/>
      <c r="S95" s="14"/>
      <c r="T95" s="14"/>
      <c r="U95" s="13"/>
      <c r="V95" s="13"/>
      <c r="W95" s="13"/>
      <c r="X95" s="13"/>
    </row>
    <row r="96" spans="1:24" ht="19.899999999999999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7"/>
      <c r="M96" s="1558"/>
      <c r="N96" s="36"/>
      <c r="O96" s="35"/>
      <c r="P96" s="31"/>
      <c r="Q96" s="17"/>
      <c r="R96" s="25"/>
      <c r="S96" s="13"/>
      <c r="T96" s="14"/>
      <c r="U96" s="13"/>
      <c r="V96" s="13"/>
      <c r="W96" s="13"/>
      <c r="X96" s="13"/>
    </row>
    <row r="97" spans="1:24" ht="19.899999999999999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7"/>
      <c r="M97" s="1559"/>
      <c r="N97" s="38"/>
      <c r="O97" s="37"/>
      <c r="P97" s="31"/>
      <c r="Q97" s="17"/>
      <c r="R97" s="25"/>
      <c r="S97" s="13"/>
      <c r="T97" s="14"/>
      <c r="U97" s="13"/>
      <c r="V97" s="13"/>
      <c r="W97" s="13"/>
      <c r="X97" s="13"/>
    </row>
    <row r="98" spans="1:24" ht="19.899999999999999" customHeight="1" thickBo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7"/>
      <c r="M98" s="47"/>
      <c r="N98" s="40"/>
      <c r="O98" s="39"/>
      <c r="P98" s="31"/>
      <c r="Q98" s="17"/>
      <c r="R98" s="13"/>
      <c r="S98" s="13"/>
      <c r="T98" s="13"/>
      <c r="U98" s="13"/>
      <c r="V98" s="13"/>
      <c r="W98" s="13"/>
      <c r="X98" s="13"/>
    </row>
    <row r="99" spans="1:24" ht="19.899999999999999" customHeight="1" thickBo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7"/>
      <c r="M99" s="62"/>
      <c r="N99" s="17"/>
      <c r="O99" s="17"/>
      <c r="P99" s="31"/>
      <c r="Q99" s="17"/>
      <c r="R99" s="13"/>
      <c r="S99" s="13"/>
      <c r="T99" s="13"/>
      <c r="U99" s="13"/>
      <c r="V99" s="13"/>
      <c r="W99" s="13"/>
      <c r="X99" s="13"/>
    </row>
    <row r="100" spans="1:24" ht="19.899999999999999" customHeight="1" thickBo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7"/>
      <c r="M100" s="48"/>
      <c r="N100" s="17"/>
      <c r="O100" s="17"/>
      <c r="P100" s="31"/>
      <c r="Q100" s="17"/>
      <c r="R100" s="13"/>
      <c r="S100" s="14"/>
      <c r="T100" s="14"/>
      <c r="U100" s="13"/>
      <c r="V100" s="13"/>
      <c r="W100" s="13"/>
      <c r="X100" s="13"/>
    </row>
    <row r="101" spans="1:24" ht="19.899999999999999" customHeight="1" thickBo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7"/>
      <c r="M101" s="49"/>
      <c r="N101" s="17"/>
      <c r="O101" s="17"/>
      <c r="P101" s="31"/>
      <c r="Q101" s="17"/>
      <c r="R101"/>
      <c r="S101" s="14"/>
      <c r="T101" s="14"/>
      <c r="U101" s="13"/>
      <c r="V101" s="13"/>
      <c r="W101" s="13"/>
      <c r="X101" s="13"/>
    </row>
    <row r="102" spans="1:24" ht="19.899999999999999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7"/>
      <c r="M102" s="50"/>
      <c r="N102" s="30"/>
      <c r="O102" s="17"/>
      <c r="P102" s="31"/>
      <c r="Q102" s="17"/>
      <c r="R102"/>
      <c r="S102" s="13"/>
      <c r="T102" s="14"/>
      <c r="U102" s="13"/>
      <c r="V102" s="13"/>
      <c r="W102" s="13"/>
      <c r="X102" s="13"/>
    </row>
    <row r="103" spans="1:24" ht="19.899999999999999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7"/>
      <c r="M103" s="51"/>
      <c r="N103" s="30"/>
      <c r="O103" s="17"/>
      <c r="P103" s="31"/>
      <c r="Q103" s="17"/>
      <c r="R103"/>
      <c r="S103" s="13"/>
      <c r="T103" s="13"/>
      <c r="U103" s="13"/>
      <c r="V103" s="13"/>
      <c r="W103" s="13"/>
      <c r="X103" s="13"/>
    </row>
    <row r="104" spans="1:24" ht="19.899999999999999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7"/>
      <c r="M104" s="51"/>
      <c r="N104" s="30"/>
      <c r="O104" s="17"/>
      <c r="P104" s="31"/>
      <c r="Q104" s="17"/>
      <c r="R104"/>
      <c r="S104" s="13"/>
      <c r="T104" s="13"/>
      <c r="U104" s="13"/>
      <c r="V104" s="13"/>
      <c r="W104" s="13"/>
      <c r="X104" s="13"/>
    </row>
    <row r="105" spans="1:24" ht="19.899999999999999" customHeight="1" thickBo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7"/>
      <c r="M105" s="52"/>
      <c r="N105" s="30"/>
      <c r="O105" s="17"/>
      <c r="P105" s="31"/>
      <c r="Q105" s="17"/>
      <c r="R105"/>
      <c r="S105" s="13"/>
      <c r="T105" s="13"/>
      <c r="U105" s="13"/>
      <c r="V105" s="13"/>
      <c r="W105" s="13"/>
      <c r="X105" s="13"/>
    </row>
    <row r="106" spans="1:24" ht="19.899999999999999" customHeight="1" thickBo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7"/>
      <c r="M106" s="53"/>
      <c r="N106" s="30"/>
      <c r="O106" s="17"/>
      <c r="P106" s="31"/>
      <c r="Q106" s="17"/>
      <c r="R106"/>
      <c r="S106" s="13"/>
      <c r="T106" s="13"/>
      <c r="U106" s="13"/>
      <c r="V106" s="13"/>
      <c r="W106" s="13"/>
      <c r="X106" s="13"/>
    </row>
    <row r="107" spans="1:24" ht="19.899999999999999" customHeight="1" thickBo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7"/>
      <c r="M107" s="54"/>
      <c r="N107" s="17"/>
      <c r="O107" s="17"/>
      <c r="P107" s="31"/>
      <c r="Q107" s="17"/>
      <c r="R107"/>
      <c r="S107" s="14"/>
      <c r="T107" s="14"/>
      <c r="U107" s="13"/>
      <c r="V107" s="13"/>
      <c r="W107" s="13"/>
      <c r="X107" s="13"/>
    </row>
    <row r="108" spans="1:24" ht="19.899999999999999" customHeight="1" thickBo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7"/>
      <c r="M108" s="55"/>
      <c r="N108" s="17"/>
      <c r="O108" s="17"/>
      <c r="P108" s="31"/>
      <c r="Q108" s="17"/>
      <c r="R108"/>
      <c r="S108" s="14"/>
      <c r="T108" s="13"/>
      <c r="U108" s="13"/>
      <c r="V108" s="14"/>
      <c r="W108" s="13"/>
      <c r="X108" s="13"/>
    </row>
    <row r="109" spans="1:24" ht="19.899999999999999" customHeight="1" thickBo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7"/>
      <c r="M109" s="56"/>
      <c r="N109" s="17"/>
      <c r="O109" s="17"/>
      <c r="P109" s="31"/>
      <c r="Q109" s="17"/>
      <c r="R109"/>
      <c r="S109" s="14"/>
      <c r="T109" s="13"/>
      <c r="U109" s="13"/>
      <c r="V109" s="14"/>
      <c r="W109" s="13"/>
      <c r="X109" s="13"/>
    </row>
    <row r="110" spans="1:24" ht="19.899999999999999" customHeight="1" thickBo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7"/>
      <c r="M110" s="57"/>
      <c r="N110" s="17"/>
      <c r="O110" s="17"/>
      <c r="P110" s="31"/>
      <c r="Q110" s="17"/>
      <c r="R110" s="13"/>
      <c r="S110" s="14"/>
      <c r="T110" s="13"/>
      <c r="U110" s="23"/>
      <c r="V110" s="13"/>
      <c r="W110" s="13"/>
      <c r="X110" s="14"/>
    </row>
    <row r="111" spans="1:24" ht="19.899999999999999" customHeight="1" thickBo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7"/>
      <c r="M111" s="57"/>
      <c r="N111" s="17"/>
      <c r="O111" s="17"/>
      <c r="P111" s="31"/>
      <c r="Q111" s="17"/>
      <c r="R111" s="13"/>
      <c r="S111" s="14"/>
      <c r="T111" s="13"/>
      <c r="U111" s="15"/>
      <c r="V111" s="13"/>
      <c r="W111" s="13"/>
      <c r="X111" s="13"/>
    </row>
    <row r="112" spans="1:24" ht="19.899999999999999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7"/>
      <c r="M112" s="69"/>
      <c r="N112" s="17"/>
      <c r="O112" s="17"/>
      <c r="P112" s="31"/>
      <c r="Q112" s="17"/>
      <c r="R112" s="13"/>
      <c r="S112" s="14"/>
      <c r="T112" s="13"/>
      <c r="U112" s="15"/>
      <c r="V112" s="13"/>
      <c r="W112" s="13"/>
      <c r="X112" s="13"/>
    </row>
    <row r="113" spans="1:24" ht="19.899999999999999" customHeight="1" thickBo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7"/>
      <c r="M113" s="70"/>
      <c r="N113" s="17"/>
      <c r="O113" s="17"/>
      <c r="P113" s="31"/>
      <c r="Q113" s="17"/>
      <c r="R113" s="13"/>
      <c r="S113" s="13"/>
      <c r="T113" s="13"/>
      <c r="U113" s="13"/>
      <c r="V113" s="13"/>
      <c r="W113" s="13"/>
      <c r="X113" s="13"/>
    </row>
    <row r="114" spans="1:24" ht="19.899999999999999" customHeight="1" thickBo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7"/>
      <c r="M114" s="59"/>
      <c r="N114" s="17"/>
      <c r="O114" s="17"/>
      <c r="P114" s="31"/>
      <c r="Q114" s="17"/>
      <c r="R114" s="13"/>
      <c r="S114" s="13"/>
      <c r="T114" s="13"/>
      <c r="U114" s="13"/>
      <c r="V114" s="13"/>
      <c r="W114" s="13"/>
      <c r="X114" s="13"/>
    </row>
    <row r="115" spans="1:24" ht="19.899999999999999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7"/>
      <c r="M115" s="42"/>
      <c r="N115" s="17"/>
      <c r="O115" s="17"/>
      <c r="P115" s="31"/>
      <c r="Q115" s="17"/>
      <c r="R115" s="13"/>
      <c r="S115" s="13"/>
      <c r="T115" s="13"/>
      <c r="U115" s="13"/>
      <c r="V115" s="13"/>
      <c r="W115" s="13"/>
      <c r="X115" s="13"/>
    </row>
    <row r="116" spans="1:24" ht="19.899999999999999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7"/>
      <c r="M116" s="33"/>
      <c r="N116" s="17"/>
      <c r="O116" s="17"/>
      <c r="P116" s="31"/>
      <c r="Q116" s="17"/>
      <c r="R116" s="13"/>
      <c r="S116" s="13"/>
      <c r="T116" s="13"/>
      <c r="U116" s="13"/>
      <c r="V116" s="13"/>
      <c r="W116" s="13"/>
      <c r="X116" s="13"/>
    </row>
    <row r="117" spans="1:24" ht="19.899999999999999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7"/>
      <c r="M117" s="33"/>
      <c r="N117" s="17"/>
      <c r="O117" s="17"/>
      <c r="P117" s="31"/>
      <c r="Q117" s="17"/>
      <c r="R117" s="13"/>
      <c r="S117" s="13"/>
      <c r="T117" s="13"/>
      <c r="U117" s="13"/>
      <c r="V117" s="13"/>
      <c r="W117" s="13"/>
      <c r="X117" s="13"/>
    </row>
    <row r="118" spans="1:24" ht="19.899999999999999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7"/>
      <c r="M118" s="60"/>
      <c r="N118" s="17"/>
      <c r="O118" s="17"/>
      <c r="P118" s="31"/>
      <c r="Q118" s="17"/>
      <c r="R118" s="13"/>
      <c r="S118" s="13"/>
      <c r="T118" s="13"/>
      <c r="U118" s="13"/>
      <c r="V118" s="13"/>
      <c r="W118" s="13"/>
      <c r="X118" s="13"/>
    </row>
    <row r="119" spans="1:24" ht="19.899999999999999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7"/>
      <c r="M119" s="33"/>
      <c r="N119" s="17"/>
      <c r="O119" s="17"/>
      <c r="P119" s="31"/>
      <c r="Q119" s="17"/>
      <c r="R119" s="13"/>
      <c r="S119" s="13"/>
      <c r="T119" s="13"/>
      <c r="U119" s="13"/>
      <c r="V119" s="13"/>
      <c r="W119" s="13"/>
      <c r="X119" s="13"/>
    </row>
    <row r="120" spans="1:24" ht="19.899999999999999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7"/>
      <c r="M120" s="60"/>
      <c r="N120" s="17"/>
      <c r="O120" s="17"/>
      <c r="P120" s="31"/>
      <c r="Q120" s="17"/>
      <c r="R120" s="13"/>
      <c r="S120" s="13"/>
      <c r="T120" s="13"/>
      <c r="U120" s="13"/>
      <c r="V120" s="13"/>
      <c r="W120" s="13"/>
      <c r="X120" s="13"/>
    </row>
    <row r="121" spans="1:24" ht="19.899999999999999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7"/>
      <c r="M121" s="60"/>
      <c r="N121" s="17"/>
      <c r="O121" s="17"/>
      <c r="P121" s="31"/>
      <c r="Q121" s="17"/>
      <c r="R121" s="13"/>
      <c r="S121" s="13"/>
      <c r="T121" s="13"/>
      <c r="U121" s="13"/>
      <c r="V121" s="13"/>
      <c r="W121" s="13"/>
      <c r="X121" s="13"/>
    </row>
    <row r="122" spans="1:24" ht="19.899999999999999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7"/>
      <c r="M122" s="60"/>
      <c r="N122" s="17"/>
      <c r="O122" s="17"/>
      <c r="P122" s="31"/>
      <c r="Q122" s="17"/>
      <c r="R122" s="13"/>
      <c r="S122" s="13"/>
      <c r="T122" s="13"/>
      <c r="U122" s="13"/>
      <c r="V122" s="13"/>
      <c r="W122" s="13"/>
      <c r="X122" s="13"/>
    </row>
    <row r="123" spans="1:24" ht="19.899999999999999" customHeight="1" thickBo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7"/>
      <c r="M123" s="61"/>
      <c r="N123" s="17"/>
      <c r="O123" s="17"/>
      <c r="P123" s="31"/>
      <c r="Q123" s="17"/>
      <c r="R123" s="13"/>
      <c r="S123" s="13"/>
      <c r="T123" s="13"/>
      <c r="U123" s="13"/>
      <c r="V123" s="13"/>
      <c r="W123" s="13"/>
      <c r="X123" s="13"/>
    </row>
    <row r="124" spans="1:24" ht="19.899999999999999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7"/>
      <c r="M124" s="71"/>
      <c r="N124" s="17"/>
      <c r="O124" s="17"/>
      <c r="P124" s="31"/>
      <c r="Q124" s="17"/>
      <c r="R124" s="13"/>
      <c r="S124" s="13"/>
      <c r="T124" s="13"/>
      <c r="U124" s="13"/>
      <c r="V124" s="13"/>
      <c r="W124" s="13"/>
      <c r="X124" s="13"/>
    </row>
    <row r="125" spans="1:24" ht="19.899999999999999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7"/>
      <c r="M125" s="65"/>
      <c r="N125" s="17"/>
      <c r="O125" s="17"/>
      <c r="P125" s="31"/>
      <c r="Q125" s="17"/>
      <c r="R125" s="13"/>
      <c r="S125" s="13"/>
      <c r="T125" s="13"/>
      <c r="U125" s="13"/>
      <c r="V125" s="13"/>
      <c r="W125" s="13"/>
      <c r="X125" s="13"/>
    </row>
    <row r="126" spans="1:24" ht="19.899999999999999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7"/>
      <c r="M126" s="65"/>
      <c r="N126" s="17"/>
      <c r="O126" s="17"/>
      <c r="P126" s="31"/>
      <c r="Q126" s="17"/>
      <c r="R126" s="13"/>
      <c r="S126" s="13"/>
      <c r="T126" s="13"/>
      <c r="U126" s="13"/>
      <c r="V126" s="13"/>
      <c r="W126" s="13"/>
      <c r="X126" s="13"/>
    </row>
    <row r="127" spans="1:24" ht="19.899999999999999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7"/>
      <c r="M127" s="65"/>
      <c r="N127" s="17"/>
      <c r="O127" s="17"/>
      <c r="P127" s="31"/>
      <c r="Q127" s="17"/>
      <c r="R127" s="13"/>
      <c r="S127" s="13"/>
      <c r="T127" s="13"/>
      <c r="U127" s="13"/>
      <c r="V127" s="13"/>
      <c r="W127" s="13"/>
      <c r="X127" s="13"/>
    </row>
    <row r="128" spans="1:24" ht="19.899999999999999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7"/>
      <c r="M128" s="65"/>
      <c r="N128" s="17"/>
      <c r="O128" s="17"/>
      <c r="P128" s="31"/>
      <c r="Q128" s="17"/>
      <c r="R128" s="13"/>
      <c r="S128" s="13"/>
      <c r="T128" s="13"/>
      <c r="U128" s="13"/>
      <c r="V128" s="13"/>
      <c r="W128" s="13"/>
      <c r="X128" s="13"/>
    </row>
    <row r="129" spans="1:24" ht="19.899999999999999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7"/>
      <c r="M129" s="71"/>
      <c r="N129" s="30"/>
      <c r="O129" s="17"/>
      <c r="P129" s="31"/>
      <c r="Q129" s="17"/>
      <c r="R129" s="13"/>
      <c r="S129" s="13"/>
      <c r="T129" s="13"/>
      <c r="U129" s="13"/>
      <c r="V129" s="13"/>
      <c r="W129" s="13"/>
      <c r="X129" s="13"/>
    </row>
    <row r="130" spans="1:24" ht="19.899999999999999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7"/>
      <c r="M130" s="65"/>
      <c r="N130" s="30"/>
      <c r="O130" s="17"/>
      <c r="P130" s="31"/>
      <c r="Q130" s="17"/>
      <c r="R130" s="13"/>
      <c r="S130" s="13"/>
      <c r="T130" s="13"/>
      <c r="U130" s="13"/>
      <c r="V130" s="13"/>
      <c r="W130" s="13"/>
      <c r="X130" s="13"/>
    </row>
    <row r="131" spans="1:24" ht="19.899999999999999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7"/>
      <c r="M131" s="65"/>
      <c r="N131" s="30"/>
      <c r="O131" s="17"/>
      <c r="P131" s="31"/>
      <c r="Q131" s="17"/>
      <c r="R131" s="13"/>
      <c r="S131" s="13"/>
      <c r="T131" s="13"/>
      <c r="U131" s="13"/>
      <c r="V131" s="13"/>
      <c r="W131" s="13"/>
      <c r="X131" s="13"/>
    </row>
    <row r="132" spans="1:24" ht="19.899999999999999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7"/>
      <c r="M132" s="72"/>
      <c r="N132" s="30"/>
      <c r="O132" s="17"/>
      <c r="P132" s="31"/>
      <c r="Q132" s="17"/>
      <c r="R132" s="13"/>
      <c r="S132" s="13"/>
      <c r="T132" s="13"/>
      <c r="U132" s="13"/>
      <c r="V132" s="13"/>
      <c r="W132" s="13"/>
      <c r="X132" s="13"/>
    </row>
    <row r="133" spans="1:24" ht="19.899999999999999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7"/>
      <c r="M133" s="51"/>
      <c r="N133" s="30"/>
      <c r="O133" s="17"/>
      <c r="P133" s="31"/>
      <c r="Q133" s="17"/>
      <c r="R133" s="13"/>
      <c r="S133" s="13"/>
      <c r="T133" s="13"/>
      <c r="U133" s="13"/>
      <c r="V133" s="13"/>
      <c r="W133" s="13"/>
      <c r="X133" s="13"/>
    </row>
    <row r="134" spans="1:24" ht="19.899999999999999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7"/>
      <c r="M134" s="73"/>
      <c r="N134" s="30"/>
      <c r="O134" s="17"/>
      <c r="P134" s="31"/>
      <c r="Q134" s="17"/>
      <c r="R134" s="13"/>
      <c r="S134" s="13"/>
      <c r="T134" s="13"/>
      <c r="U134" s="13"/>
      <c r="V134" s="13"/>
      <c r="W134" s="13"/>
      <c r="X134" s="13"/>
    </row>
    <row r="135" spans="1:24" ht="19.899999999999999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7"/>
      <c r="M135" s="74"/>
      <c r="N135" s="17"/>
      <c r="O135" s="17"/>
      <c r="P135" s="31"/>
      <c r="Q135" s="17"/>
      <c r="R135" s="13"/>
      <c r="S135" s="13"/>
      <c r="T135" s="13"/>
      <c r="U135" s="13"/>
      <c r="V135" s="13"/>
      <c r="W135" s="13"/>
      <c r="X135" s="13"/>
    </row>
    <row r="136" spans="1:24" ht="19.899999999999999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7"/>
      <c r="M136" s="65"/>
      <c r="N136" s="17"/>
      <c r="O136" s="17"/>
      <c r="P136" s="31"/>
      <c r="Q136" s="17"/>
      <c r="R136" s="13"/>
      <c r="S136" s="13"/>
      <c r="T136" s="13"/>
      <c r="U136" s="13"/>
      <c r="V136" s="13"/>
      <c r="W136" s="13"/>
      <c r="X136" s="13"/>
    </row>
    <row r="137" spans="1:24" ht="19.899999999999999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7"/>
      <c r="M137" s="65"/>
      <c r="N137" s="17"/>
      <c r="O137" s="17"/>
      <c r="P137" s="31"/>
      <c r="Q137" s="17"/>
      <c r="R137" s="13"/>
      <c r="S137" s="13"/>
      <c r="T137" s="13"/>
      <c r="U137" s="13"/>
      <c r="V137" s="13"/>
      <c r="W137" s="13"/>
      <c r="X137" s="13"/>
    </row>
    <row r="138" spans="1:24" ht="19.899999999999999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7"/>
      <c r="M138" s="75"/>
      <c r="N138" s="17"/>
      <c r="O138" s="17"/>
      <c r="P138" s="31"/>
      <c r="Q138" s="17"/>
      <c r="R138" s="13"/>
      <c r="S138" s="13"/>
      <c r="T138" s="13"/>
      <c r="U138" s="13"/>
      <c r="V138" s="13"/>
      <c r="W138" s="13"/>
      <c r="X138" s="13"/>
    </row>
    <row r="139" spans="1:24" ht="19.899999999999999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7"/>
      <c r="M139" s="76"/>
      <c r="N139" s="17"/>
      <c r="O139" s="17"/>
      <c r="P139" s="31"/>
      <c r="Q139" s="17"/>
      <c r="R139" s="13"/>
      <c r="S139" s="13"/>
      <c r="T139" s="13"/>
      <c r="U139" s="13"/>
      <c r="V139" s="13"/>
      <c r="W139" s="13"/>
      <c r="X139" s="13"/>
    </row>
    <row r="140" spans="1:24" ht="19.899999999999999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7"/>
      <c r="M140" s="76"/>
      <c r="N140" s="17"/>
      <c r="O140" s="17"/>
      <c r="P140" s="31"/>
      <c r="Q140" s="17"/>
      <c r="R140" s="13"/>
      <c r="S140" s="13"/>
      <c r="T140" s="13"/>
      <c r="U140" s="13"/>
      <c r="V140" s="13"/>
      <c r="W140" s="13"/>
      <c r="X140" s="13"/>
    </row>
    <row r="141" spans="1:24" ht="19.899999999999999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7"/>
      <c r="M141" s="76"/>
      <c r="N141" s="17"/>
      <c r="O141" s="17"/>
      <c r="P141" s="31"/>
      <c r="Q141" s="17"/>
      <c r="R141" s="13"/>
      <c r="S141" s="13"/>
      <c r="T141" s="13"/>
      <c r="U141" s="13"/>
      <c r="V141" s="13"/>
      <c r="W141" s="13"/>
      <c r="X141" s="13"/>
    </row>
    <row r="142" spans="1:24" ht="19.899999999999999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7"/>
      <c r="M142" s="75"/>
      <c r="N142" s="17"/>
      <c r="O142" s="17"/>
      <c r="P142" s="31"/>
      <c r="Q142" s="17"/>
      <c r="R142" s="13"/>
      <c r="S142" s="13"/>
      <c r="T142" s="13"/>
      <c r="U142" s="13"/>
      <c r="V142" s="13"/>
      <c r="W142" s="13"/>
      <c r="X142" s="13"/>
    </row>
    <row r="143" spans="1:24" ht="19.899999999999999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7"/>
      <c r="M143" s="76"/>
      <c r="N143" s="17"/>
      <c r="O143" s="17"/>
      <c r="P143" s="31"/>
      <c r="Q143" s="17"/>
      <c r="R143" s="13"/>
      <c r="S143" s="13"/>
      <c r="T143" s="13"/>
      <c r="U143" s="13"/>
      <c r="V143" s="13"/>
      <c r="W143" s="13"/>
      <c r="X143" s="13"/>
    </row>
    <row r="144" spans="1:24" ht="19.899999999999999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7"/>
      <c r="M144" s="76"/>
      <c r="N144" s="17"/>
      <c r="O144" s="17"/>
      <c r="P144" s="31"/>
      <c r="Q144" s="17"/>
      <c r="R144" s="13"/>
      <c r="S144" s="13"/>
      <c r="T144" s="13"/>
      <c r="U144" s="13"/>
      <c r="V144" s="13"/>
      <c r="W144" s="13"/>
      <c r="X144" s="13"/>
    </row>
    <row r="145" spans="1:24" ht="19.899999999999999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7"/>
      <c r="M145" s="75"/>
      <c r="N145" s="17"/>
      <c r="O145" s="17"/>
      <c r="P145" s="31"/>
      <c r="Q145" s="17"/>
      <c r="R145" s="13"/>
      <c r="S145" s="13"/>
      <c r="T145" s="13"/>
      <c r="U145" s="13"/>
      <c r="V145" s="13"/>
      <c r="W145" s="13"/>
      <c r="X145" s="13"/>
    </row>
    <row r="146" spans="1:24" ht="19.899999999999999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7"/>
      <c r="M146" s="76"/>
      <c r="N146" s="17"/>
      <c r="O146" s="17"/>
      <c r="P146" s="31"/>
      <c r="Q146" s="17"/>
      <c r="R146" s="13"/>
      <c r="S146" s="13"/>
      <c r="T146" s="13"/>
      <c r="U146" s="13"/>
      <c r="V146" s="13"/>
      <c r="W146" s="13"/>
      <c r="X146" s="13"/>
    </row>
    <row r="147" spans="1:24" ht="19.899999999999999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7"/>
      <c r="M147" s="76"/>
      <c r="N147" s="17"/>
      <c r="O147" s="17"/>
      <c r="P147" s="31"/>
      <c r="Q147" s="17"/>
      <c r="R147" s="13"/>
      <c r="S147" s="13"/>
      <c r="T147" s="13"/>
      <c r="U147" s="13"/>
      <c r="V147" s="13"/>
      <c r="W147" s="13"/>
      <c r="X147" s="13"/>
    </row>
    <row r="148" spans="1:24" ht="19.899999999999999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7"/>
      <c r="M148" s="65"/>
      <c r="N148" s="17"/>
      <c r="O148" s="17"/>
      <c r="P148" s="31"/>
      <c r="Q148" s="17"/>
      <c r="R148" s="13"/>
      <c r="S148" s="13"/>
      <c r="T148" s="13"/>
      <c r="U148" s="13"/>
      <c r="V148" s="13"/>
      <c r="W148" s="13"/>
      <c r="X148" s="13"/>
    </row>
    <row r="149" spans="1:24" ht="19.899999999999999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7"/>
      <c r="M149" s="65"/>
      <c r="N149" s="17"/>
      <c r="O149" s="17"/>
      <c r="P149" s="31"/>
      <c r="Q149" s="17"/>
      <c r="R149" s="13"/>
      <c r="S149" s="13"/>
      <c r="T149" s="13"/>
      <c r="U149" s="13"/>
      <c r="V149" s="13"/>
      <c r="W149" s="13"/>
      <c r="X149" s="13"/>
    </row>
    <row r="150" spans="1:24" ht="19.899999999999999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7"/>
      <c r="M150" s="65"/>
      <c r="N150" s="17"/>
      <c r="O150" s="17"/>
      <c r="P150" s="31"/>
      <c r="Q150" s="17"/>
      <c r="R150" s="13"/>
      <c r="S150" s="13"/>
      <c r="T150" s="13"/>
      <c r="U150" s="13"/>
      <c r="V150" s="13"/>
      <c r="W150" s="13"/>
      <c r="X150" s="13"/>
    </row>
    <row r="151" spans="1:24" ht="19.899999999999999" customHeight="1" thickBo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7"/>
      <c r="M151" s="77"/>
      <c r="N151" s="78"/>
      <c r="O151" s="78"/>
      <c r="P151" s="79"/>
      <c r="Q151" s="17"/>
      <c r="R151" s="13"/>
      <c r="S151" s="13"/>
      <c r="T151" s="13"/>
      <c r="U151" s="13"/>
      <c r="V151" s="13"/>
      <c r="W151" s="13"/>
      <c r="X151" s="13"/>
    </row>
    <row r="152" spans="1:24" ht="19.899999999999999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7"/>
      <c r="M152" s="25"/>
      <c r="N152" s="17"/>
      <c r="O152" s="17"/>
      <c r="P152" s="17"/>
      <c r="Q152" s="17"/>
      <c r="R152" s="13"/>
      <c r="S152" s="13"/>
      <c r="T152" s="13"/>
      <c r="U152" s="13"/>
      <c r="V152" s="13"/>
      <c r="W152" s="13"/>
      <c r="X152" s="13"/>
    </row>
    <row r="153" spans="1:24" ht="19.899999999999999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7"/>
      <c r="M153" s="25"/>
      <c r="N153" s="17"/>
      <c r="O153" s="17"/>
      <c r="P153" s="17"/>
      <c r="Q153" s="17"/>
      <c r="R153" s="13"/>
      <c r="S153" s="13"/>
      <c r="T153" s="13"/>
      <c r="U153" s="13"/>
      <c r="V153" s="13"/>
      <c r="W153" s="13"/>
      <c r="X153" s="13"/>
    </row>
    <row r="154" spans="1:24" ht="19.899999999999999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7"/>
      <c r="L154" s="25"/>
      <c r="M154" s="17"/>
      <c r="N154" s="17"/>
      <c r="O154" s="17"/>
      <c r="P154" s="17"/>
      <c r="Q154" s="13"/>
      <c r="R154" s="13"/>
      <c r="S154" s="13"/>
      <c r="T154" s="13"/>
      <c r="U154" s="13"/>
      <c r="V154" s="13"/>
      <c r="W154" s="13"/>
      <c r="X154" s="13"/>
    </row>
    <row r="155" spans="1:24" ht="19.899999999999999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7"/>
      <c r="L155" s="25"/>
      <c r="M155" s="17"/>
      <c r="N155" s="17"/>
      <c r="O155" s="17"/>
      <c r="P155" s="17"/>
      <c r="Q155" s="13"/>
      <c r="R155" s="13"/>
      <c r="S155" s="13"/>
      <c r="T155" s="13"/>
      <c r="U155" s="13"/>
      <c r="V155" s="13"/>
      <c r="W155" s="13"/>
      <c r="X155" s="13"/>
    </row>
    <row r="156" spans="1:24" ht="19.899999999999999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7"/>
      <c r="L156" s="25"/>
      <c r="M156" s="17"/>
    </row>
    <row r="157" spans="1:24" ht="19.899999999999999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7"/>
      <c r="L157" s="25"/>
      <c r="M157" s="17"/>
    </row>
    <row r="158" spans="1:24" ht="19.899999999999999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7"/>
      <c r="L158" s="25"/>
      <c r="M158" s="17"/>
    </row>
    <row r="159" spans="1:24" ht="19.899999999999999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7"/>
      <c r="L159" s="25"/>
      <c r="M159" s="17"/>
    </row>
    <row r="160" spans="1:24" ht="19.899999999999999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7"/>
      <c r="L160" s="25"/>
      <c r="M160" s="17"/>
    </row>
    <row r="161" spans="1:24" s="3" customFormat="1" ht="19.899999999999999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7"/>
      <c r="L161" s="25"/>
      <c r="M161" s="17"/>
      <c r="Q161" s="1"/>
      <c r="R161" s="1"/>
      <c r="S161" s="1"/>
      <c r="T161" s="1"/>
      <c r="U161" s="1"/>
      <c r="V161" s="1"/>
      <c r="W161" s="1"/>
      <c r="X161" s="1"/>
    </row>
    <row r="162" spans="1:24" s="3" customFormat="1" ht="19.899999999999999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7"/>
      <c r="L162" s="25"/>
      <c r="M162" s="17"/>
      <c r="Q162" s="1"/>
      <c r="R162" s="1"/>
      <c r="S162" s="1"/>
      <c r="T162" s="1"/>
      <c r="U162" s="1"/>
      <c r="V162" s="1"/>
      <c r="W162" s="1"/>
      <c r="X162" s="1"/>
    </row>
    <row r="163" spans="1:24" s="3" customFormat="1" ht="19.899999999999999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7"/>
      <c r="L163" s="25"/>
      <c r="M163" s="17"/>
      <c r="Q163" s="1"/>
      <c r="R163" s="1"/>
      <c r="S163" s="1"/>
      <c r="T163" s="1"/>
      <c r="U163" s="1"/>
      <c r="V163" s="1"/>
      <c r="W163" s="1"/>
      <c r="X163" s="1"/>
    </row>
    <row r="164" spans="1:24" s="3" customFormat="1" ht="19.899999999999999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7"/>
      <c r="L164" s="25"/>
      <c r="M164" s="17"/>
      <c r="Q164" s="1"/>
      <c r="R164" s="1"/>
      <c r="S164" s="1"/>
      <c r="T164" s="1"/>
      <c r="U164" s="1"/>
      <c r="V164" s="1"/>
      <c r="W164" s="1"/>
      <c r="X164" s="1"/>
    </row>
    <row r="165" spans="1:24" s="3" customFormat="1" ht="19.899999999999999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7"/>
      <c r="L165" s="25"/>
      <c r="M165" s="17"/>
      <c r="Q165" s="1"/>
      <c r="R165" s="1"/>
      <c r="S165" s="1"/>
      <c r="T165" s="1"/>
      <c r="U165" s="1"/>
      <c r="V165" s="1"/>
      <c r="W165" s="1"/>
      <c r="X165" s="1"/>
    </row>
    <row r="166" spans="1:24" s="3" customFormat="1" ht="19.899999999999999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7"/>
      <c r="L166" s="25"/>
      <c r="M166" s="17"/>
      <c r="Q166" s="1"/>
      <c r="R166" s="1"/>
      <c r="S166" s="1"/>
      <c r="T166" s="1"/>
      <c r="U166" s="1"/>
      <c r="V166" s="1"/>
      <c r="W166" s="1"/>
      <c r="X166" s="1"/>
    </row>
    <row r="167" spans="1:24" s="3" customFormat="1" ht="19.899999999999999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7"/>
      <c r="L167" s="25"/>
      <c r="M167" s="17"/>
      <c r="Q167" s="1"/>
      <c r="R167" s="1"/>
      <c r="S167" s="1"/>
      <c r="T167" s="1"/>
      <c r="U167" s="1"/>
      <c r="V167" s="1"/>
      <c r="W167" s="1"/>
      <c r="X167" s="1"/>
    </row>
    <row r="168" spans="1:24" s="3" customFormat="1" ht="19.899999999999999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7"/>
      <c r="L168" s="25"/>
      <c r="M168" s="17"/>
      <c r="Q168" s="1"/>
      <c r="R168" s="1"/>
      <c r="S168" s="1"/>
      <c r="T168" s="1"/>
      <c r="U168" s="1"/>
      <c r="V168" s="1"/>
      <c r="W168" s="1"/>
      <c r="X168" s="1"/>
    </row>
    <row r="169" spans="1:24" s="3" customFormat="1" ht="19.899999999999999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7"/>
      <c r="L169" s="25"/>
      <c r="M169" s="17"/>
      <c r="Q169" s="1"/>
      <c r="R169" s="1"/>
      <c r="S169" s="1"/>
      <c r="T169" s="1"/>
      <c r="U169" s="1"/>
      <c r="V169" s="1"/>
      <c r="W169" s="1"/>
      <c r="X169" s="1"/>
    </row>
    <row r="170" spans="1:24" s="3" customFormat="1" ht="19.899999999999999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7"/>
      <c r="L170" s="25"/>
      <c r="M170" s="17"/>
      <c r="Q170" s="1"/>
      <c r="R170" s="1"/>
      <c r="S170" s="1"/>
      <c r="T170" s="1"/>
      <c r="U170" s="1"/>
      <c r="V170" s="1"/>
      <c r="W170" s="1"/>
      <c r="X170" s="1"/>
    </row>
    <row r="171" spans="1:24" s="3" customFormat="1" ht="19.899999999999999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7"/>
      <c r="L171" s="25"/>
      <c r="M171" s="17"/>
      <c r="Q171" s="1"/>
      <c r="R171" s="1"/>
      <c r="S171" s="1"/>
      <c r="T171" s="1"/>
      <c r="U171" s="1"/>
      <c r="V171" s="1"/>
      <c r="W171" s="1"/>
      <c r="X171" s="1"/>
    </row>
    <row r="172" spans="1:24" s="3" customFormat="1" ht="19.899999999999999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7"/>
      <c r="L172" s="25"/>
      <c r="M172" s="17"/>
      <c r="Q172" s="1"/>
      <c r="R172" s="1"/>
      <c r="S172" s="1"/>
      <c r="T172" s="1"/>
      <c r="U172" s="1"/>
      <c r="V172" s="1"/>
      <c r="W172" s="1"/>
      <c r="X172" s="1"/>
    </row>
    <row r="173" spans="1:24" s="3" customFormat="1" ht="19.899999999999999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7"/>
      <c r="L173" s="25"/>
      <c r="M173" s="17"/>
      <c r="Q173" s="1"/>
      <c r="R173" s="1"/>
      <c r="S173" s="1"/>
      <c r="T173" s="1"/>
      <c r="U173" s="1"/>
      <c r="V173" s="1"/>
      <c r="W173" s="1"/>
      <c r="X173" s="1"/>
    </row>
    <row r="174" spans="1:24" s="3" customFormat="1" ht="19.899999999999999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7"/>
      <c r="L174" s="25"/>
      <c r="M174" s="17"/>
      <c r="Q174" s="1"/>
      <c r="R174" s="1"/>
      <c r="S174" s="1"/>
      <c r="T174" s="1"/>
      <c r="U174" s="1"/>
      <c r="V174" s="1"/>
      <c r="W174" s="1"/>
      <c r="X174" s="1"/>
    </row>
    <row r="175" spans="1:24" s="3" customFormat="1" ht="19.899999999999999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7"/>
      <c r="L175" s="25"/>
      <c r="M175" s="17"/>
      <c r="Q175" s="1"/>
      <c r="R175" s="1"/>
      <c r="S175" s="1"/>
      <c r="T175" s="1"/>
      <c r="U175" s="1"/>
      <c r="V175" s="1"/>
      <c r="W175" s="1"/>
      <c r="X175" s="1"/>
    </row>
    <row r="176" spans="1:24" s="3" customFormat="1" ht="19.899999999999999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L176" s="2"/>
      <c r="Q176" s="1"/>
      <c r="R176" s="1"/>
      <c r="S176" s="1"/>
      <c r="T176" s="1"/>
      <c r="U176" s="1"/>
      <c r="V176" s="1"/>
      <c r="W176" s="1"/>
      <c r="X176" s="1"/>
    </row>
    <row r="185" spans="4:4" ht="19.899999999999999" customHeight="1">
      <c r="D185" s="1" t="e">
        <f>VLOOKUP(J58,'Bảng tra'!$I$3:$M$6,5,0)*100</f>
        <v>#N/A</v>
      </c>
    </row>
  </sheetData>
  <mergeCells count="5">
    <mergeCell ref="N92:O92"/>
    <mergeCell ref="M96:M97"/>
    <mergeCell ref="N91:O91"/>
    <mergeCell ref="A19:K19"/>
    <mergeCell ref="A21:K21"/>
  </mergeCells>
  <printOptions horizontalCentered="1"/>
  <pageMargins left="0.19685039370078741" right="0.19685039370078741" top="0.39370078740157483" bottom="0.39370078740157483" header="0" footer="0"/>
  <pageSetup paperSize="9" scale="80" orientation="portrait" blackAndWhite="1" r:id="rId1"/>
  <headerFooter alignWithMargins="0">
    <oddFooter xml:space="preserve">&amp;C
&amp;R&amp;12&amp;Y </oddFooter>
  </headerFooter>
  <rowBreaks count="1" manualBreakCount="1">
    <brk id="55" max="11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8467-0109-4613-9ECA-8CFB8A90ECCA}">
  <sheetPr codeName="Sheet56"/>
  <dimension ref="A1:AO553"/>
  <sheetViews>
    <sheetView view="pageBreakPreview" topLeftCell="A72" zoomScale="70" zoomScaleNormal="100" zoomScaleSheetLayoutView="70" workbookViewId="0">
      <selection activeCell="M8" sqref="M8"/>
    </sheetView>
  </sheetViews>
  <sheetFormatPr defaultColWidth="10.69921875" defaultRowHeight="19.899999999999999" customHeight="1"/>
  <cols>
    <col min="1" max="2" width="12" style="1" customWidth="1"/>
    <col min="3" max="5" width="10.69921875" style="1"/>
    <col min="6" max="6" width="11.59765625" style="1" customWidth="1"/>
    <col min="7" max="7" width="11.296875" style="1" customWidth="1"/>
    <col min="8" max="8" width="10.69921875" style="1"/>
    <col min="9" max="9" width="11.09765625" style="1" customWidth="1"/>
    <col min="10" max="10" width="10.69921875" style="1"/>
    <col min="11" max="11" width="10.69921875" style="3"/>
    <col min="12" max="12" width="10.69921875" style="2"/>
    <col min="13" max="21" width="10.69921875" style="3" hidden="1" customWidth="1"/>
    <col min="22" max="33" width="10.69921875" style="3"/>
    <col min="34" max="16384" width="10.69921875" style="1"/>
  </cols>
  <sheetData>
    <row r="1" spans="1:30" ht="19.899999999999999" customHeight="1">
      <c r="A1" s="1568" t="str">
        <f>'N411-20'!A1:B1</f>
        <v>CÔNG TRÌNH</v>
      </c>
      <c r="B1" s="1568"/>
      <c r="C1" s="1180" t="str">
        <f>'N411-20'!C1:D1</f>
        <v xml:space="preserve">NHÀ MÁY ĐIỆN GIÓ </v>
      </c>
      <c r="D1" s="1180"/>
      <c r="E1" s="1180"/>
      <c r="F1" s="1180"/>
      <c r="G1" s="1180"/>
      <c r="H1" s="700"/>
      <c r="I1" s="377"/>
      <c r="J1" s="771"/>
    </row>
    <row r="2" spans="1:30" ht="19.899999999999999" customHeight="1">
      <c r="A2" s="1568" t="str">
        <f>'N411-20'!A2:B2</f>
        <v>HẠNG MỤC</v>
      </c>
      <c r="B2" s="1568"/>
      <c r="C2" s="1180" t="str">
        <f>'N411-20'!C2:D2</f>
        <v xml:space="preserve">ĐƯỜNG DÂY 22kV </v>
      </c>
      <c r="D2" s="1180"/>
      <c r="E2" s="1180"/>
      <c r="F2" s="1180"/>
      <c r="G2" s="1180"/>
      <c r="H2" s="1180"/>
      <c r="I2" s="1180"/>
      <c r="J2" s="1180"/>
      <c r="K2" s="1180"/>
      <c r="L2" s="1180"/>
      <c r="V2" s="772" t="s">
        <v>860</v>
      </c>
      <c r="W2" s="773"/>
    </row>
    <row r="3" spans="1:30" ht="19.899999999999999" customHeight="1">
      <c r="A3" s="1568" t="str">
        <f>'N411-20'!A3:B3</f>
        <v xml:space="preserve">Cột </v>
      </c>
      <c r="B3" s="1568"/>
      <c r="C3" s="1567" t="str">
        <f>'N411-20'!C3:D3</f>
        <v>D411-25</v>
      </c>
      <c r="D3" s="1567"/>
      <c r="E3" s="1567"/>
      <c r="F3" s="1567"/>
      <c r="I3" s="1180" t="str">
        <f>'N411-20'!I3</f>
        <v>Loại móng:</v>
      </c>
      <c r="J3" s="1180" t="str">
        <f>'N411-20'!J3</f>
        <v>MB 2.6-5x6</v>
      </c>
      <c r="N3" s="774"/>
      <c r="O3" s="774"/>
      <c r="V3" s="775"/>
      <c r="W3" s="775" t="str">
        <f>IF(V3="Ao","A","")</f>
        <v/>
      </c>
    </row>
    <row r="4" spans="1:30" ht="19.899999999999999" customHeight="1">
      <c r="A4" s="1568"/>
      <c r="B4" s="1568"/>
      <c r="C4" s="1180"/>
      <c r="D4" s="1180"/>
      <c r="E4" s="1180" t="s">
        <v>929</v>
      </c>
      <c r="F4" s="1180"/>
      <c r="G4" s="1180"/>
      <c r="I4" s="1181" t="s">
        <v>928</v>
      </c>
      <c r="J4" s="1182" t="s">
        <v>890</v>
      </c>
      <c r="N4" s="774"/>
      <c r="O4" s="774"/>
    </row>
    <row r="5" spans="1:30" ht="19.899999999999999" hidden="1" customHeight="1">
      <c r="A5" s="776"/>
      <c r="B5" s="6"/>
      <c r="C5" s="1187"/>
      <c r="D5" s="1187"/>
      <c r="E5" s="401"/>
      <c r="F5" s="401"/>
      <c r="G5" s="1188"/>
      <c r="H5" s="1189"/>
      <c r="I5" s="1190"/>
      <c r="L5" s="778"/>
    </row>
    <row r="6" spans="1:30" ht="19.899999999999999" customHeight="1">
      <c r="A6" s="704"/>
      <c r="B6" s="872"/>
      <c r="C6" s="872"/>
      <c r="D6" s="872"/>
      <c r="E6" s="872"/>
      <c r="F6" s="872"/>
      <c r="G6" s="872"/>
      <c r="H6" s="872"/>
      <c r="I6" s="872"/>
      <c r="J6" s="1183" t="s">
        <v>200</v>
      </c>
      <c r="K6" s="1184"/>
      <c r="L6" s="779"/>
      <c r="N6"/>
      <c r="O6"/>
      <c r="P6"/>
      <c r="Q6"/>
      <c r="R6"/>
      <c r="S6"/>
      <c r="T6"/>
      <c r="U6"/>
    </row>
    <row r="7" spans="1:30" ht="19.899999999999999" customHeight="1">
      <c r="A7" s="704"/>
      <c r="B7" s="696"/>
      <c r="C7" s="696"/>
      <c r="D7" s="696"/>
      <c r="E7" s="696"/>
      <c r="F7" s="696"/>
      <c r="G7" s="696"/>
      <c r="H7" s="696"/>
      <c r="I7" s="696"/>
      <c r="J7" s="780" t="s">
        <v>775</v>
      </c>
      <c r="K7" s="327">
        <f>'N411-20'!K7</f>
        <v>2.6</v>
      </c>
      <c r="L7" s="779" t="s">
        <v>0</v>
      </c>
      <c r="N7"/>
      <c r="O7"/>
      <c r="P7"/>
      <c r="Q7"/>
      <c r="R7"/>
      <c r="S7"/>
      <c r="T7"/>
      <c r="U7"/>
      <c r="V7" s="781" t="s">
        <v>739</v>
      </c>
    </row>
    <row r="8" spans="1:30" ht="19.899999999999999" customHeight="1">
      <c r="A8" s="704"/>
      <c r="B8" s="696"/>
      <c r="C8" s="696"/>
      <c r="D8" s="696"/>
      <c r="E8" s="696"/>
      <c r="F8" s="696"/>
      <c r="G8" s="696"/>
      <c r="H8" s="696"/>
      <c r="I8" s="696"/>
      <c r="J8" s="780" t="s">
        <v>776</v>
      </c>
      <c r="K8" s="327">
        <f>'N411-20'!K8</f>
        <v>2.6</v>
      </c>
      <c r="L8" s="779" t="s">
        <v>0</v>
      </c>
      <c r="N8"/>
      <c r="O8"/>
      <c r="P8"/>
      <c r="Q8"/>
      <c r="R8"/>
      <c r="S8"/>
      <c r="T8"/>
      <c r="U8"/>
      <c r="V8" s="1569" t="s">
        <v>203</v>
      </c>
      <c r="W8" s="1569" t="s">
        <v>204</v>
      </c>
      <c r="X8" s="174" t="s">
        <v>205</v>
      </c>
      <c r="Y8" s="174" t="s">
        <v>153</v>
      </c>
      <c r="Z8" s="1570" t="s">
        <v>38</v>
      </c>
      <c r="AA8" s="1570" t="s">
        <v>207</v>
      </c>
      <c r="AB8" s="783" t="s">
        <v>208</v>
      </c>
      <c r="AC8" s="174" t="s">
        <v>25</v>
      </c>
      <c r="AD8" s="174" t="s">
        <v>26</v>
      </c>
    </row>
    <row r="9" spans="1:30" ht="19.899999999999999" customHeight="1">
      <c r="A9" s="704"/>
      <c r="B9" s="696"/>
      <c r="C9" s="696"/>
      <c r="D9" s="696"/>
      <c r="E9" s="696"/>
      <c r="F9" s="696"/>
      <c r="G9" s="696"/>
      <c r="H9" s="696"/>
      <c r="I9" s="696"/>
      <c r="J9" s="771" t="s">
        <v>537</v>
      </c>
      <c r="K9" s="327"/>
      <c r="L9" s="779"/>
      <c r="N9"/>
      <c r="O9"/>
      <c r="P9"/>
      <c r="Q9"/>
      <c r="R9"/>
      <c r="S9"/>
      <c r="T9"/>
      <c r="U9"/>
      <c r="V9" s="1569"/>
      <c r="W9" s="1569"/>
      <c r="X9" s="784" t="s">
        <v>0</v>
      </c>
      <c r="Y9" s="784" t="s">
        <v>24</v>
      </c>
      <c r="Z9" s="1571"/>
      <c r="AA9" s="1571"/>
      <c r="AB9" s="784" t="s">
        <v>206</v>
      </c>
      <c r="AC9" s="784" t="s">
        <v>10</v>
      </c>
      <c r="AD9" s="784" t="s">
        <v>10</v>
      </c>
    </row>
    <row r="10" spans="1:30" ht="19.899999999999999" customHeight="1">
      <c r="A10" s="704"/>
      <c r="B10" s="696"/>
      <c r="C10" s="696"/>
      <c r="D10" s="696"/>
      <c r="E10" s="696"/>
      <c r="F10" s="696"/>
      <c r="G10" s="696"/>
      <c r="H10" s="696"/>
      <c r="I10" s="696"/>
      <c r="J10" s="780" t="s">
        <v>111</v>
      </c>
      <c r="K10" s="327">
        <f>'N411-20'!K10</f>
        <v>5</v>
      </c>
      <c r="L10" s="779" t="s">
        <v>0</v>
      </c>
      <c r="N10"/>
      <c r="O10"/>
      <c r="P10"/>
      <c r="Q10"/>
      <c r="R10"/>
      <c r="S10"/>
      <c r="T10"/>
      <c r="U10"/>
      <c r="V10" s="1166" t="s">
        <v>871</v>
      </c>
      <c r="W10" s="785" t="s">
        <v>924</v>
      </c>
      <c r="X10" s="1167">
        <v>2</v>
      </c>
      <c r="Y10" s="1167">
        <v>1.79</v>
      </c>
      <c r="Z10" s="1167">
        <v>2.61</v>
      </c>
      <c r="AA10" s="1168">
        <v>0.61</v>
      </c>
      <c r="AB10" s="1168">
        <v>15</v>
      </c>
      <c r="AC10" s="1168">
        <v>4.7</v>
      </c>
      <c r="AD10" s="1167">
        <v>550</v>
      </c>
    </row>
    <row r="11" spans="1:30" ht="19.899999999999999" customHeight="1">
      <c r="A11" s="704"/>
      <c r="B11" s="696"/>
      <c r="C11" s="696"/>
      <c r="D11" s="696"/>
      <c r="E11" s="696"/>
      <c r="F11" s="696"/>
      <c r="G11" s="696"/>
      <c r="H11" s="696"/>
      <c r="I11" s="696"/>
      <c r="J11" s="780" t="s">
        <v>112</v>
      </c>
      <c r="K11" s="327">
        <f>'N411-20'!K11</f>
        <v>6</v>
      </c>
      <c r="L11" s="779" t="s">
        <v>0</v>
      </c>
      <c r="N11"/>
      <c r="O11"/>
      <c r="P11"/>
      <c r="Q11"/>
      <c r="R11"/>
      <c r="S11"/>
      <c r="T11"/>
      <c r="U11"/>
      <c r="V11" s="1166" t="s">
        <v>871</v>
      </c>
      <c r="W11" s="785" t="s">
        <v>925</v>
      </c>
      <c r="X11" s="1167">
        <v>3</v>
      </c>
      <c r="Y11" s="1167">
        <v>1.83</v>
      </c>
      <c r="Z11" s="1167">
        <v>2.59</v>
      </c>
      <c r="AA11" s="1168">
        <v>0.62</v>
      </c>
      <c r="AB11" s="1168">
        <v>17</v>
      </c>
      <c r="AC11" s="1168">
        <v>5.4</v>
      </c>
      <c r="AD11" s="1167">
        <v>550</v>
      </c>
    </row>
    <row r="12" spans="1:30" ht="19.899999999999999" customHeight="1">
      <c r="A12" s="704"/>
      <c r="B12" s="696"/>
      <c r="C12" s="696"/>
      <c r="D12" s="696"/>
      <c r="E12" s="696"/>
      <c r="F12" s="696"/>
      <c r="G12" s="696"/>
      <c r="H12" s="696"/>
      <c r="I12" s="696"/>
      <c r="J12" s="780" t="s">
        <v>120</v>
      </c>
      <c r="K12" s="327">
        <f>+ROUND(K11/K10,2)</f>
        <v>1.2</v>
      </c>
      <c r="L12" s="779"/>
      <c r="V12" s="1166" t="s">
        <v>871</v>
      </c>
      <c r="W12" s="785" t="s">
        <v>925</v>
      </c>
      <c r="X12" s="1167">
        <v>3</v>
      </c>
      <c r="Y12" s="1167">
        <v>1.85</v>
      </c>
      <c r="Z12" s="1167">
        <v>2.61</v>
      </c>
      <c r="AA12" s="1168">
        <v>0.6</v>
      </c>
      <c r="AB12" s="1168">
        <v>19</v>
      </c>
      <c r="AC12" s="1168">
        <v>5.9</v>
      </c>
      <c r="AD12" s="1167">
        <v>550</v>
      </c>
    </row>
    <row r="13" spans="1:30" ht="19.899999999999999" customHeight="1">
      <c r="A13" s="704"/>
      <c r="B13" s="696"/>
      <c r="C13" s="696"/>
      <c r="D13" s="696"/>
      <c r="E13" s="696"/>
      <c r="F13" s="696"/>
      <c r="G13" s="696"/>
      <c r="H13" s="696"/>
      <c r="I13" s="696"/>
      <c r="J13" s="771" t="s">
        <v>201</v>
      </c>
      <c r="K13" s="771"/>
      <c r="L13" s="771"/>
      <c r="W13" s="785"/>
      <c r="X13" s="786"/>
      <c r="Y13" s="787"/>
      <c r="Z13" s="787"/>
      <c r="AA13" s="787"/>
      <c r="AB13" s="788"/>
      <c r="AC13" s="787"/>
      <c r="AD13" s="787"/>
    </row>
    <row r="14" spans="1:30" ht="19.899999999999999" customHeight="1">
      <c r="A14" s="704"/>
      <c r="B14" s="696"/>
      <c r="C14" s="696"/>
      <c r="D14" s="696"/>
      <c r="E14" s="696"/>
      <c r="F14" s="696"/>
      <c r="G14" s="696"/>
      <c r="H14" s="696"/>
      <c r="I14" s="696"/>
      <c r="J14" s="780" t="s">
        <v>823</v>
      </c>
      <c r="K14" s="770">
        <f>'N411-20'!K14</f>
        <v>2.5</v>
      </c>
      <c r="L14" s="779" t="s">
        <v>0</v>
      </c>
      <c r="AA14" s="3" t="s">
        <v>502</v>
      </c>
    </row>
    <row r="15" spans="1:30" ht="19.899999999999999" customHeight="1">
      <c r="A15" s="704"/>
      <c r="B15" s="696"/>
      <c r="C15" s="696"/>
      <c r="D15" s="696"/>
      <c r="E15" s="696"/>
      <c r="F15" s="696"/>
      <c r="G15" s="696"/>
      <c r="H15" s="696"/>
      <c r="I15" s="696"/>
      <c r="J15" s="771" t="s">
        <v>548</v>
      </c>
      <c r="K15" s="326"/>
      <c r="L15" s="779"/>
      <c r="W15" s="3" t="s">
        <v>502</v>
      </c>
    </row>
    <row r="16" spans="1:30" ht="19.899999999999999" customHeight="1">
      <c r="A16" s="704"/>
      <c r="B16" s="696"/>
      <c r="C16" s="696"/>
      <c r="D16" s="696"/>
      <c r="E16" s="696"/>
      <c r="F16" s="696"/>
      <c r="G16" s="696"/>
      <c r="H16" s="696"/>
      <c r="I16" s="696"/>
      <c r="J16" s="780" t="s">
        <v>822</v>
      </c>
      <c r="K16" s="770">
        <f>'N411-20'!K16</f>
        <v>1</v>
      </c>
      <c r="L16" s="779" t="s">
        <v>0</v>
      </c>
    </row>
    <row r="17" spans="1:25" ht="19.899999999999999" customHeight="1">
      <c r="A17" s="704"/>
      <c r="B17" s="696"/>
      <c r="C17" s="696"/>
      <c r="D17" s="696"/>
      <c r="E17" s="696"/>
      <c r="F17" s="696"/>
      <c r="G17" s="1512">
        <f>G26</f>
        <v>1.2</v>
      </c>
      <c r="H17" s="696"/>
      <c r="I17" s="696"/>
      <c r="J17" s="771" t="s">
        <v>538</v>
      </c>
      <c r="K17" s="327"/>
      <c r="L17" s="779"/>
    </row>
    <row r="18" spans="1:25" ht="19.899999999999999" customHeight="1">
      <c r="A18" s="704"/>
      <c r="B18" s="696"/>
      <c r="C18" s="696"/>
      <c r="D18" s="696"/>
      <c r="E18" s="696"/>
      <c r="F18" s="696"/>
      <c r="G18" s="1513"/>
      <c r="H18" s="696"/>
      <c r="I18" s="696"/>
      <c r="J18" s="780" t="s">
        <v>74</v>
      </c>
      <c r="K18" s="327">
        <f>K14+K16</f>
        <v>3.5</v>
      </c>
      <c r="L18" s="779" t="s">
        <v>0</v>
      </c>
      <c r="W18" s="771"/>
      <c r="X18" s="327"/>
      <c r="Y18" s="779"/>
    </row>
    <row r="19" spans="1:25" ht="19.899999999999999" customHeight="1" thickBot="1">
      <c r="A19" s="704"/>
      <c r="B19" s="696"/>
      <c r="C19" s="696"/>
      <c r="D19" s="696"/>
      <c r="E19" s="696"/>
      <c r="F19" s="696"/>
      <c r="G19" s="696"/>
      <c r="H19" s="696"/>
      <c r="I19" s="696"/>
      <c r="J19" s="771" t="s">
        <v>540</v>
      </c>
      <c r="K19" s="327"/>
      <c r="L19" s="779"/>
      <c r="W19" s="780"/>
      <c r="Y19" s="779"/>
    </row>
    <row r="20" spans="1:25" ht="19.899999999999999" customHeight="1" thickBot="1">
      <c r="A20" s="704"/>
      <c r="B20" s="696"/>
      <c r="C20" s="696"/>
      <c r="D20" s="696"/>
      <c r="E20" s="696"/>
      <c r="F20" s="696"/>
      <c r="G20" s="1512">
        <f>K8</f>
        <v>2.6</v>
      </c>
      <c r="H20" s="696"/>
      <c r="I20" s="696"/>
      <c r="J20" s="701" t="s">
        <v>892</v>
      </c>
      <c r="K20" s="327">
        <f>'N411-20'!K20</f>
        <v>0.5</v>
      </c>
      <c r="L20" s="779" t="s">
        <v>0</v>
      </c>
      <c r="P20" s="790" t="s">
        <v>70</v>
      </c>
      <c r="Q20" s="791"/>
      <c r="R20" s="792" t="s">
        <v>71</v>
      </c>
      <c r="S20" s="793" t="s">
        <v>72</v>
      </c>
      <c r="W20" s="780"/>
      <c r="Y20" s="779"/>
    </row>
    <row r="21" spans="1:25" ht="19.899999999999999" customHeight="1" thickBot="1">
      <c r="A21" s="704"/>
      <c r="B21" s="696"/>
      <c r="C21" s="696"/>
      <c r="D21" s="696"/>
      <c r="E21" s="696"/>
      <c r="F21" s="696"/>
      <c r="G21" s="1513"/>
      <c r="H21" s="696"/>
      <c r="I21" s="696"/>
      <c r="J21" s="701" t="s">
        <v>893</v>
      </c>
      <c r="K21" s="327">
        <f>'N411-20'!K21</f>
        <v>0.3</v>
      </c>
      <c r="L21" s="779" t="s">
        <v>0</v>
      </c>
      <c r="P21" s="794">
        <v>30</v>
      </c>
      <c r="Q21" s="26">
        <f t="shared" ref="Q21:Q41" si="0">+P21/1000</f>
        <v>0.03</v>
      </c>
      <c r="R21" s="795">
        <f>3.14*Q21^2/4*7850</f>
        <v>5.5460250000000002</v>
      </c>
      <c r="S21" s="796">
        <f>3.14*Q21^2/4*10000</f>
        <v>7.0649999999999995</v>
      </c>
      <c r="W21" s="780"/>
      <c r="Y21" s="779"/>
    </row>
    <row r="22" spans="1:25" ht="19.899999999999999" customHeight="1">
      <c r="A22" s="704"/>
      <c r="B22" s="696"/>
      <c r="C22" s="696"/>
      <c r="D22" s="696"/>
      <c r="E22" s="696"/>
      <c r="F22" s="696"/>
      <c r="G22" s="1513"/>
      <c r="H22" s="696"/>
      <c r="I22" s="696"/>
      <c r="J22" s="771" t="s">
        <v>541</v>
      </c>
      <c r="K22" s="327"/>
      <c r="L22" s="779"/>
      <c r="P22" s="794">
        <v>28</v>
      </c>
      <c r="Q22" s="26">
        <f>+P22/1000</f>
        <v>2.8000000000000001E-2</v>
      </c>
      <c r="R22" s="795">
        <f t="shared" ref="R22:R41" si="1">3.14*Q22^2/4*7850</f>
        <v>4.8312040000000005</v>
      </c>
      <c r="S22" s="796">
        <f t="shared" ref="S22:S41" si="2">3.14*Q22^2/4*10000</f>
        <v>6.1544000000000008</v>
      </c>
    </row>
    <row r="23" spans="1:25" ht="19.899999999999999" customHeight="1">
      <c r="A23" s="704"/>
      <c r="B23" s="696"/>
      <c r="C23" s="696"/>
      <c r="D23" s="696"/>
      <c r="E23" s="696"/>
      <c r="F23" s="696"/>
      <c r="G23" s="1513"/>
      <c r="H23" s="696"/>
      <c r="I23" s="696"/>
      <c r="J23" s="780" t="s">
        <v>73</v>
      </c>
      <c r="K23" s="327">
        <f>'N411-20'!K23</f>
        <v>1</v>
      </c>
      <c r="L23" s="779" t="s">
        <v>0</v>
      </c>
      <c r="P23" s="797">
        <v>25</v>
      </c>
      <c r="Q23" s="27">
        <f t="shared" si="0"/>
        <v>2.5000000000000001E-2</v>
      </c>
      <c r="R23" s="798">
        <f t="shared" si="1"/>
        <v>3.8514062500000006</v>
      </c>
      <c r="S23" s="799">
        <f>3.14*Q23^2/4*10000</f>
        <v>4.9062500000000009</v>
      </c>
    </row>
    <row r="24" spans="1:25" ht="19.899999999999999" customHeight="1">
      <c r="A24" s="704"/>
      <c r="B24" s="696"/>
      <c r="C24" s="696"/>
      <c r="D24" s="696"/>
      <c r="E24" s="696"/>
      <c r="F24" s="696"/>
      <c r="G24" s="696"/>
      <c r="H24" s="696"/>
      <c r="I24" s="696"/>
      <c r="J24" s="771" t="s">
        <v>542</v>
      </c>
      <c r="K24" s="326"/>
      <c r="L24" s="779"/>
      <c r="P24" s="797">
        <v>22</v>
      </c>
      <c r="Q24" s="27">
        <f t="shared" si="0"/>
        <v>2.1999999999999999E-2</v>
      </c>
      <c r="R24" s="798">
        <f t="shared" si="1"/>
        <v>2.982529</v>
      </c>
      <c r="S24" s="799">
        <f t="shared" si="2"/>
        <v>3.7993999999999999</v>
      </c>
    </row>
    <row r="25" spans="1:25" ht="19.899999999999999" customHeight="1">
      <c r="A25" s="704"/>
      <c r="B25" s="696"/>
      <c r="C25" s="696"/>
      <c r="D25" s="696"/>
      <c r="E25" s="696"/>
      <c r="F25" s="696"/>
      <c r="G25" s="696"/>
      <c r="H25" s="696"/>
      <c r="I25" s="696"/>
      <c r="J25" s="701" t="s">
        <v>895</v>
      </c>
      <c r="K25" s="702">
        <f>K7-K23</f>
        <v>1.6</v>
      </c>
      <c r="L25" s="779" t="s">
        <v>0</v>
      </c>
      <c r="P25" s="797">
        <v>20</v>
      </c>
      <c r="Q25" s="27">
        <f t="shared" si="0"/>
        <v>0.02</v>
      </c>
      <c r="R25" s="798">
        <f t="shared" si="1"/>
        <v>2.4649000000000005</v>
      </c>
      <c r="S25" s="799">
        <f t="shared" si="2"/>
        <v>3.1400000000000006</v>
      </c>
    </row>
    <row r="26" spans="1:25" ht="19.899999999999999" customHeight="1">
      <c r="A26" s="704"/>
      <c r="B26" s="696"/>
      <c r="C26" s="696"/>
      <c r="D26" s="696"/>
      <c r="E26" s="696"/>
      <c r="F26" s="696"/>
      <c r="G26" s="1512">
        <f>(K10-K7)/2</f>
        <v>1.2</v>
      </c>
      <c r="H26" s="696"/>
      <c r="I26" s="696"/>
      <c r="J26" s="701" t="s">
        <v>894</v>
      </c>
      <c r="K26" s="702">
        <f>(K10-K7-K23)/2</f>
        <v>0.7</v>
      </c>
      <c r="L26" s="779" t="s">
        <v>0</v>
      </c>
      <c r="P26" s="797">
        <v>18</v>
      </c>
      <c r="Q26" s="27">
        <f t="shared" si="0"/>
        <v>1.7999999999999999E-2</v>
      </c>
      <c r="R26" s="798">
        <f t="shared" si="1"/>
        <v>1.9965689999999998</v>
      </c>
      <c r="S26" s="799">
        <f t="shared" si="2"/>
        <v>2.5433999999999997</v>
      </c>
    </row>
    <row r="27" spans="1:25" ht="19.899999999999999" customHeight="1">
      <c r="A27" s="704"/>
      <c r="B27" s="696"/>
      <c r="C27" s="696"/>
      <c r="D27" s="696"/>
      <c r="E27" s="696"/>
      <c r="F27" s="696"/>
      <c r="G27" s="1513"/>
      <c r="H27" s="696"/>
      <c r="I27" s="696"/>
      <c r="J27" s="701" t="s">
        <v>896</v>
      </c>
      <c r="K27" s="702">
        <f>K8-K23</f>
        <v>1.6</v>
      </c>
      <c r="L27" s="779" t="s">
        <v>0</v>
      </c>
      <c r="P27" s="797">
        <v>16</v>
      </c>
      <c r="Q27" s="27">
        <f t="shared" si="0"/>
        <v>1.6E-2</v>
      </c>
      <c r="R27" s="798">
        <f t="shared" si="1"/>
        <v>1.577536</v>
      </c>
      <c r="S27" s="799">
        <f t="shared" si="2"/>
        <v>2.0095999999999998</v>
      </c>
    </row>
    <row r="28" spans="1:25" ht="19.899999999999999" customHeight="1">
      <c r="A28" s="704"/>
      <c r="B28" s="696"/>
      <c r="C28" s="708">
        <f>F28</f>
        <v>1.7</v>
      </c>
      <c r="D28" s="696"/>
      <c r="E28" s="702">
        <f>K7</f>
        <v>2.6</v>
      </c>
      <c r="F28" s="708">
        <f>(K11-K8)/2</f>
        <v>1.7</v>
      </c>
      <c r="G28" s="696"/>
      <c r="H28" s="696"/>
      <c r="I28" s="696"/>
      <c r="J28" s="701" t="s">
        <v>897</v>
      </c>
      <c r="K28" s="702">
        <f>(K11-K8-K23)/2</f>
        <v>1.2</v>
      </c>
      <c r="L28" s="779" t="s">
        <v>0</v>
      </c>
      <c r="P28" s="797">
        <v>14</v>
      </c>
      <c r="Q28" s="27">
        <f t="shared" si="0"/>
        <v>1.4E-2</v>
      </c>
      <c r="R28" s="798">
        <f t="shared" si="1"/>
        <v>1.2078010000000001</v>
      </c>
      <c r="S28" s="799">
        <f t="shared" si="2"/>
        <v>1.5386000000000002</v>
      </c>
    </row>
    <row r="29" spans="1:25" ht="19.899999999999999" customHeight="1">
      <c r="A29" s="800" t="s">
        <v>544</v>
      </c>
      <c r="B29" s="771"/>
      <c r="C29" s="771"/>
      <c r="D29" s="771"/>
      <c r="E29" s="771"/>
      <c r="F29" s="782"/>
      <c r="G29" s="771"/>
      <c r="H29" s="771"/>
      <c r="I29" s="771"/>
      <c r="J29" s="771" t="s">
        <v>543</v>
      </c>
      <c r="K29" s="771"/>
      <c r="L29" s="771"/>
      <c r="M29" s="326"/>
      <c r="N29" s="326"/>
      <c r="P29" s="797">
        <v>12</v>
      </c>
      <c r="Q29" s="27">
        <f t="shared" si="0"/>
        <v>1.2E-2</v>
      </c>
      <c r="R29" s="798">
        <f t="shared" si="1"/>
        <v>0.88736400000000004</v>
      </c>
      <c r="S29" s="799">
        <f t="shared" si="2"/>
        <v>1.1304000000000001</v>
      </c>
    </row>
    <row r="30" spans="1:25" ht="19.899999999999999" customHeight="1">
      <c r="A30" s="703" t="s">
        <v>579</v>
      </c>
      <c r="B30" s="703"/>
      <c r="C30" s="695"/>
      <c r="D30" s="695"/>
      <c r="E30" s="695"/>
      <c r="F30" s="695"/>
      <c r="G30" s="695"/>
      <c r="H30" s="696"/>
      <c r="I30" s="771"/>
      <c r="J30" s="780" t="s">
        <v>114</v>
      </c>
      <c r="K30" s="328">
        <f>K10*K11*K21+(((K10*K11)+(K7+K23+0.2)^2+(K10+K7+K23+0.2)*(K11+K8+K23+0.2))*(K20-K21)/6)+K23*K23*(K18-K20)*4</f>
        <v>25.355999999999998</v>
      </c>
      <c r="L30" s="779" t="s">
        <v>1</v>
      </c>
      <c r="M30" s="326"/>
      <c r="N30" s="326"/>
      <c r="P30" s="797"/>
      <c r="Q30" s="27"/>
      <c r="R30" s="798"/>
      <c r="S30" s="799"/>
    </row>
    <row r="31" spans="1:25" ht="19.899999999999999" customHeight="1">
      <c r="A31" s="1572" t="s">
        <v>580</v>
      </c>
      <c r="B31" s="1573"/>
      <c r="C31" s="697" t="s">
        <v>581</v>
      </c>
      <c r="D31" s="697" t="s">
        <v>582</v>
      </c>
      <c r="E31" s="697" t="s">
        <v>583</v>
      </c>
      <c r="F31" s="697" t="s">
        <v>584</v>
      </c>
      <c r="G31" s="697" t="s">
        <v>585</v>
      </c>
      <c r="H31" s="697" t="s">
        <v>586</v>
      </c>
      <c r="I31" s="771"/>
      <c r="J31" s="771" t="s">
        <v>545</v>
      </c>
      <c r="K31" s="771"/>
      <c r="L31" s="771"/>
      <c r="M31" s="326"/>
      <c r="N31" s="326"/>
      <c r="P31" s="797"/>
      <c r="Q31" s="27"/>
      <c r="R31" s="798"/>
      <c r="S31" s="799"/>
    </row>
    <row r="32" spans="1:25" ht="19.899999999999999" customHeight="1">
      <c r="A32" s="1501" t="s">
        <v>500</v>
      </c>
      <c r="B32" s="1501"/>
      <c r="C32" s="371">
        <f>'N411-20'!C32</f>
        <v>-1.6875</v>
      </c>
      <c r="D32" s="371">
        <f>'N411-20'!D32</f>
        <v>-1.4111</v>
      </c>
      <c r="E32" s="371">
        <f>'N411-20'!E32</f>
        <v>17.914300000000001</v>
      </c>
      <c r="F32" s="371">
        <f>'N411-20'!F32</f>
        <v>-6.8500000000000005E-2</v>
      </c>
      <c r="G32" s="371">
        <f>'N411-20'!G32</f>
        <v>4.6400000000000004E-2</v>
      </c>
      <c r="H32" s="371">
        <f>'N411-20'!H32</f>
        <v>1.4E-3</v>
      </c>
      <c r="I32" s="771"/>
      <c r="J32" s="780" t="s">
        <v>115</v>
      </c>
      <c r="K32" s="769">
        <f>K10*K11</f>
        <v>30</v>
      </c>
      <c r="L32" s="779" t="s">
        <v>2</v>
      </c>
      <c r="M32" s="326"/>
      <c r="N32" s="326"/>
      <c r="P32" s="797"/>
      <c r="Q32" s="27"/>
      <c r="R32" s="798"/>
      <c r="S32" s="799"/>
    </row>
    <row r="33" spans="1:26" ht="19.899999999999999" customHeight="1">
      <c r="A33" s="1501" t="s">
        <v>587</v>
      </c>
      <c r="B33" s="1501"/>
      <c r="C33" s="371">
        <f>'N411-20'!C33</f>
        <v>-1.8271000000000002</v>
      </c>
      <c r="D33" s="371">
        <f>'N411-20'!D33</f>
        <v>-1.8968</v>
      </c>
      <c r="E33" s="371">
        <f>'N411-20'!E33</f>
        <v>-20.9922</v>
      </c>
      <c r="F33" s="371">
        <f>'N411-20'!F33</f>
        <v>-5.9699999999999996E-2</v>
      </c>
      <c r="G33" s="371">
        <f>'N411-20'!G33</f>
        <v>7.6700000000000004E-2</v>
      </c>
      <c r="H33" s="371">
        <f>'N411-20'!H33</f>
        <v>1E-3</v>
      </c>
      <c r="I33" s="771"/>
      <c r="K33" s="700"/>
      <c r="L33" s="701" t="s">
        <v>547</v>
      </c>
      <c r="M33" s="326"/>
      <c r="N33" s="326"/>
      <c r="P33" s="797"/>
      <c r="Q33" s="27"/>
      <c r="R33" s="798"/>
      <c r="S33" s="799"/>
    </row>
    <row r="34" spans="1:26" ht="19.899999999999999" customHeight="1">
      <c r="A34" s="1564" t="s">
        <v>901</v>
      </c>
      <c r="B34" s="1176" t="s">
        <v>588</v>
      </c>
      <c r="C34" s="371">
        <f>'N411-20'!C34</f>
        <v>-2.5344000000000002</v>
      </c>
      <c r="D34" s="371">
        <f>'N411-20'!D34</f>
        <v>-1.7965</v>
      </c>
      <c r="E34" s="371">
        <f>'N411-20'!E34</f>
        <v>6.3949999999999987</v>
      </c>
      <c r="F34" s="371">
        <f>'N411-20'!F34</f>
        <v>26.654080000000004</v>
      </c>
      <c r="G34" s="371">
        <f>'N411-20'!G34</f>
        <v>47.466300000000004</v>
      </c>
      <c r="H34" s="371">
        <f>'N411-20'!H34</f>
        <v>0.29313599999999995</v>
      </c>
      <c r="I34" s="771"/>
      <c r="J34" s="780" t="s">
        <v>820</v>
      </c>
      <c r="K34" s="769">
        <f>(K11*K10^3)/6/K10</f>
        <v>25</v>
      </c>
      <c r="L34" s="779" t="s">
        <v>1</v>
      </c>
      <c r="M34" s="326"/>
      <c r="N34" s="326"/>
      <c r="P34" s="797"/>
      <c r="Q34" s="27"/>
      <c r="R34" s="798"/>
      <c r="S34" s="799"/>
    </row>
    <row r="35" spans="1:26" ht="19.899999999999999" customHeight="1">
      <c r="A35" s="1565"/>
      <c r="B35" s="1176" t="s">
        <v>589</v>
      </c>
      <c r="C35" s="371">
        <f>'N411-20'!C35</f>
        <v>-2.4743999999999997</v>
      </c>
      <c r="D35" s="371">
        <f>'N411-20'!D35</f>
        <v>-2.9365000000000001</v>
      </c>
      <c r="E35" s="371">
        <f>'N411-20'!E35</f>
        <v>6.1550999999999991</v>
      </c>
      <c r="F35" s="371">
        <f>'N411-20'!F35</f>
        <v>55.32799</v>
      </c>
      <c r="G35" s="371">
        <f>'N411-20'!G35</f>
        <v>45.799009999999996</v>
      </c>
      <c r="H35" s="371">
        <f>'N411-20'!H35</f>
        <v>0.40751799999999994</v>
      </c>
      <c r="I35" s="771"/>
      <c r="K35" s="700"/>
      <c r="L35" s="701" t="s">
        <v>546</v>
      </c>
      <c r="M35" s="700"/>
      <c r="N35" s="700"/>
      <c r="P35" s="797"/>
      <c r="Q35" s="27"/>
      <c r="R35" s="798"/>
      <c r="S35" s="799"/>
    </row>
    <row r="36" spans="1:26" ht="19.899999999999999" customHeight="1">
      <c r="A36" s="1565"/>
      <c r="B36" s="1176" t="s">
        <v>498</v>
      </c>
      <c r="C36" s="371">
        <f>'N411-20'!C36</f>
        <v>-2.4743999999999997</v>
      </c>
      <c r="D36" s="371">
        <f>'N411-20'!D36</f>
        <v>-2.9365000000000001</v>
      </c>
      <c r="E36" s="371">
        <f>'N411-20'!E36</f>
        <v>6.1550999999999991</v>
      </c>
      <c r="F36" s="371">
        <f>'N411-20'!F36</f>
        <v>55.32799</v>
      </c>
      <c r="G36" s="371">
        <f>'N411-20'!G36</f>
        <v>45.799009999999996</v>
      </c>
      <c r="H36" s="371">
        <f>'N411-20'!H36</f>
        <v>0.40751799999999994</v>
      </c>
      <c r="I36" s="771"/>
      <c r="J36" s="780" t="s">
        <v>821</v>
      </c>
      <c r="K36" s="769">
        <f>+(K10*K11^3)/12/K11*2</f>
        <v>30</v>
      </c>
      <c r="L36" s="779" t="s">
        <v>1</v>
      </c>
      <c r="M36" s="326"/>
      <c r="N36" s="326"/>
      <c r="P36" s="797"/>
      <c r="Q36" s="27"/>
      <c r="R36" s="798"/>
      <c r="S36" s="799"/>
    </row>
    <row r="37" spans="1:26" ht="19.899999999999999" customHeight="1">
      <c r="A37" s="1566"/>
      <c r="B37" s="1169" t="s">
        <v>719</v>
      </c>
      <c r="C37" s="371">
        <f>'N411-20'!C37</f>
        <v>-1.1499999999999999</v>
      </c>
      <c r="D37" s="371">
        <f>'N411-20'!D37</f>
        <v>0</v>
      </c>
      <c r="E37" s="371">
        <f>'N411-20'!E37</f>
        <v>5.6476999999999995</v>
      </c>
      <c r="F37" s="371">
        <f>'N411-20'!F37</f>
        <v>-0.23856999999999928</v>
      </c>
      <c r="G37" s="371">
        <f>'N411-20'!G37</f>
        <v>27.861709999999999</v>
      </c>
      <c r="H37" s="371">
        <f>'N411-20'!H37</f>
        <v>7.3858999999999994E-2</v>
      </c>
      <c r="I37" s="771"/>
      <c r="M37" s="326"/>
      <c r="N37" s="326"/>
      <c r="P37" s="797"/>
      <c r="Q37" s="27"/>
      <c r="R37" s="798"/>
      <c r="S37" s="799"/>
    </row>
    <row r="38" spans="1:26" ht="19.899999999999999" customHeight="1">
      <c r="A38" s="801" t="s">
        <v>591</v>
      </c>
      <c r="B38" s="698"/>
      <c r="C38" s="699"/>
      <c r="D38" s="699"/>
      <c r="E38" s="699"/>
      <c r="F38" s="699"/>
      <c r="G38" s="699"/>
      <c r="H38" s="699"/>
      <c r="I38" s="771"/>
      <c r="M38" s="326"/>
      <c r="N38" s="326"/>
      <c r="P38" s="797"/>
      <c r="Q38" s="27"/>
      <c r="R38" s="798"/>
      <c r="S38" s="799"/>
    </row>
    <row r="39" spans="1:26" ht="19.899999999999999" customHeight="1">
      <c r="A39" s="1575" t="s">
        <v>742</v>
      </c>
      <c r="B39" s="780" t="s">
        <v>743</v>
      </c>
      <c r="C39" s="328">
        <f>'N411-20'!C40/1.15</f>
        <v>5.5608695652173905</v>
      </c>
      <c r="D39" s="771" t="s">
        <v>3</v>
      </c>
      <c r="E39" s="782"/>
      <c r="F39" s="771"/>
      <c r="G39" s="771"/>
      <c r="H39" s="771"/>
      <c r="I39" s="771"/>
      <c r="M39" s="326"/>
      <c r="N39" s="326"/>
      <c r="P39" s="797">
        <v>10</v>
      </c>
      <c r="Q39" s="27">
        <f t="shared" si="0"/>
        <v>0.01</v>
      </c>
      <c r="R39" s="798">
        <f t="shared" si="1"/>
        <v>0.61622500000000013</v>
      </c>
      <c r="S39" s="799">
        <f t="shared" si="2"/>
        <v>0.78500000000000014</v>
      </c>
    </row>
    <row r="40" spans="1:26" ht="19.899999999999999" customHeight="1">
      <c r="A40" s="1575"/>
      <c r="B40" s="780" t="s">
        <v>744</v>
      </c>
      <c r="C40" s="328">
        <f>'N411-20'!C41/1.15</f>
        <v>2.2038260869565223</v>
      </c>
      <c r="D40" s="771" t="s">
        <v>3</v>
      </c>
      <c r="E40" s="780" t="s">
        <v>745</v>
      </c>
      <c r="F40" s="328">
        <f>'N411-20'!F41/1.15</f>
        <v>1.5621739130434784</v>
      </c>
      <c r="G40" s="700" t="s">
        <v>3</v>
      </c>
      <c r="H40" s="771"/>
      <c r="I40" s="771"/>
      <c r="M40" s="326"/>
      <c r="N40" s="326"/>
      <c r="P40" s="797">
        <v>8</v>
      </c>
      <c r="Q40" s="27">
        <f t="shared" si="0"/>
        <v>8.0000000000000002E-3</v>
      </c>
      <c r="R40" s="798">
        <f t="shared" si="1"/>
        <v>0.39438400000000001</v>
      </c>
      <c r="S40" s="799">
        <f t="shared" si="2"/>
        <v>0.50239999999999996</v>
      </c>
    </row>
    <row r="41" spans="1:26" ht="19.899999999999999" customHeight="1" thickBot="1">
      <c r="A41" s="1575"/>
      <c r="B41" s="780" t="s">
        <v>746</v>
      </c>
      <c r="C41" s="328">
        <f>'N411-20'!C42/1.15</f>
        <v>41.275043478260876</v>
      </c>
      <c r="D41" s="771" t="s">
        <v>4</v>
      </c>
      <c r="E41" s="780" t="s">
        <v>747</v>
      </c>
      <c r="F41" s="328">
        <f>'N411-20'!F42/1.15</f>
        <v>23.177460869565223</v>
      </c>
      <c r="G41" s="700" t="s">
        <v>4</v>
      </c>
      <c r="H41" s="771"/>
      <c r="I41" s="771"/>
      <c r="J41" s="771" t="s">
        <v>549</v>
      </c>
      <c r="K41" s="326"/>
      <c r="L41" s="779"/>
      <c r="M41" s="326"/>
      <c r="N41" s="326"/>
      <c r="P41" s="802">
        <v>6</v>
      </c>
      <c r="Q41" s="28">
        <f t="shared" si="0"/>
        <v>6.0000000000000001E-3</v>
      </c>
      <c r="R41" s="803">
        <f t="shared" si="1"/>
        <v>0.22184100000000001</v>
      </c>
      <c r="S41" s="804">
        <f t="shared" si="2"/>
        <v>0.28260000000000002</v>
      </c>
    </row>
    <row r="42" spans="1:26" ht="19.899999999999999" customHeight="1">
      <c r="A42" s="1575" t="s">
        <v>748</v>
      </c>
      <c r="B42" s="701" t="s">
        <v>743</v>
      </c>
      <c r="C42" s="702">
        <f>'N411-20'!C45/1.15</f>
        <v>5.3522608695652174</v>
      </c>
      <c r="D42" s="700" t="s">
        <v>3</v>
      </c>
      <c r="E42" s="701"/>
      <c r="F42" s="699"/>
      <c r="G42" s="700"/>
      <c r="H42" s="771"/>
      <c r="I42" s="771"/>
      <c r="J42" s="780" t="s">
        <v>825</v>
      </c>
      <c r="K42" s="328">
        <f>K10*K11*K14-K30</f>
        <v>49.644000000000005</v>
      </c>
      <c r="L42" s="779" t="s">
        <v>1</v>
      </c>
      <c r="M42" s="326"/>
      <c r="N42" s="326"/>
      <c r="P42" s="11"/>
      <c r="R42" s="805"/>
      <c r="S42" s="806"/>
    </row>
    <row r="43" spans="1:26" ht="19.899999999999999" customHeight="1">
      <c r="A43" s="1575"/>
      <c r="B43" s="701" t="s">
        <v>744</v>
      </c>
      <c r="C43" s="702">
        <f>'N411-20'!C46/1.15</f>
        <v>2.1516521739130434</v>
      </c>
      <c r="D43" s="700" t="s">
        <v>3</v>
      </c>
      <c r="E43" s="701" t="s">
        <v>745</v>
      </c>
      <c r="F43" s="702">
        <f>'N411-20'!F46/1.15</f>
        <v>2.5534782608695656</v>
      </c>
      <c r="G43" s="700" t="s">
        <v>3</v>
      </c>
      <c r="H43" s="771"/>
      <c r="I43" s="771"/>
      <c r="J43" s="771" t="s">
        <v>550</v>
      </c>
      <c r="K43" s="771"/>
      <c r="L43" s="779"/>
      <c r="M43" s="326"/>
      <c r="N43" s="326"/>
    </row>
    <row r="44" spans="1:26" ht="19.899999999999999" customHeight="1">
      <c r="A44" s="1575"/>
      <c r="B44" s="701" t="s">
        <v>746</v>
      </c>
      <c r="C44" s="702">
        <f>'N411-20'!C47/1.15</f>
        <v>39.825226086956519</v>
      </c>
      <c r="D44" s="700" t="s">
        <v>4</v>
      </c>
      <c r="E44" s="701" t="s">
        <v>747</v>
      </c>
      <c r="F44" s="702">
        <f>'N411-20'!F47/1.15</f>
        <v>48.111295652173915</v>
      </c>
      <c r="G44" s="700" t="s">
        <v>4</v>
      </c>
      <c r="H44" s="771"/>
      <c r="I44" s="771"/>
      <c r="J44" s="780" t="s">
        <v>749</v>
      </c>
      <c r="K44" s="769">
        <f>'N411-20'!K44</f>
        <v>0</v>
      </c>
      <c r="L44" s="779" t="s">
        <v>0</v>
      </c>
      <c r="M44" s="326"/>
      <c r="N44" s="326"/>
      <c r="Z44" s="6"/>
    </row>
    <row r="45" spans="1:26" ht="19.899999999999999" customHeight="1" thickBot="1">
      <c r="A45" s="1575" t="s">
        <v>498</v>
      </c>
      <c r="B45" s="701" t="s">
        <v>743</v>
      </c>
      <c r="C45" s="702">
        <f>'N411-20'!C48/1.15</f>
        <v>5.3522608695652174</v>
      </c>
      <c r="D45" s="700" t="s">
        <v>3</v>
      </c>
      <c r="E45" s="701"/>
      <c r="F45" s="702"/>
      <c r="G45" s="700"/>
      <c r="H45" s="771"/>
      <c r="I45" s="771"/>
      <c r="J45" s="771" t="s">
        <v>551</v>
      </c>
      <c r="K45" s="326"/>
      <c r="L45" s="779"/>
      <c r="M45" s="326"/>
      <c r="N45" s="326"/>
      <c r="V45" s="1576" t="s">
        <v>737</v>
      </c>
      <c r="W45" s="1577"/>
      <c r="X45" s="1577"/>
      <c r="Y45" s="1578"/>
      <c r="Z45" s="6"/>
    </row>
    <row r="46" spans="1:26" ht="19.899999999999999" customHeight="1">
      <c r="A46" s="1575"/>
      <c r="B46" s="701" t="s">
        <v>744</v>
      </c>
      <c r="C46" s="702">
        <f>'N411-20'!C49/1.15</f>
        <v>2.1516521739130434</v>
      </c>
      <c r="D46" s="700" t="s">
        <v>3</v>
      </c>
      <c r="E46" s="701" t="s">
        <v>745</v>
      </c>
      <c r="F46" s="702">
        <f>'N411-20'!F49/1.15</f>
        <v>2.5534782608695656</v>
      </c>
      <c r="G46" s="700" t="s">
        <v>3</v>
      </c>
      <c r="H46" s="771"/>
      <c r="I46" s="771"/>
      <c r="J46" s="780" t="s">
        <v>750</v>
      </c>
      <c r="K46" s="328">
        <f>K44*K10*K11</f>
        <v>0</v>
      </c>
      <c r="L46" s="779" t="s">
        <v>1</v>
      </c>
      <c r="M46" s="326"/>
      <c r="N46" s="326"/>
      <c r="Q46" s="63"/>
      <c r="R46" s="63"/>
      <c r="S46" s="107"/>
      <c r="V46" s="245" t="s">
        <v>738</v>
      </c>
      <c r="W46" s="424" t="s">
        <v>142</v>
      </c>
      <c r="X46" s="245" t="s">
        <v>143</v>
      </c>
      <c r="Y46" s="245" t="s">
        <v>621</v>
      </c>
      <c r="Z46" s="6"/>
    </row>
    <row r="47" spans="1:26" ht="19.899999999999999" customHeight="1">
      <c r="A47" s="1575"/>
      <c r="B47" s="701" t="s">
        <v>746</v>
      </c>
      <c r="C47" s="702">
        <f>'N411-20'!C50/1.15</f>
        <v>39.825226086956519</v>
      </c>
      <c r="D47" s="700" t="s">
        <v>4</v>
      </c>
      <c r="E47" s="701" t="s">
        <v>747</v>
      </c>
      <c r="F47" s="702">
        <f>'N411-20'!F50/1.15</f>
        <v>48.111295652173915</v>
      </c>
      <c r="G47" s="700" t="s">
        <v>4</v>
      </c>
      <c r="H47" s="771"/>
      <c r="I47" s="771"/>
      <c r="J47" s="780" t="s">
        <v>824</v>
      </c>
      <c r="K47" s="328">
        <f>K46*1.55*K11/4</f>
        <v>0</v>
      </c>
      <c r="L47" s="779" t="s">
        <v>4</v>
      </c>
      <c r="M47" s="326"/>
      <c r="N47" s="326"/>
      <c r="S47" s="113"/>
      <c r="V47" s="245" t="s">
        <v>618</v>
      </c>
      <c r="W47" s="424">
        <f>F41+F40*$K$18</f>
        <v>28.645069565217398</v>
      </c>
      <c r="X47" s="424">
        <f>C41+C40*$K$18</f>
        <v>48.988434782608707</v>
      </c>
      <c r="Y47" s="424">
        <f>SQRT(W47^2+X47^2)</f>
        <v>56.748627761788661</v>
      </c>
    </row>
    <row r="48" spans="1:26" ht="19.899999999999999" customHeight="1">
      <c r="A48" s="1575" t="s">
        <v>590</v>
      </c>
      <c r="B48" s="701" t="s">
        <v>743</v>
      </c>
      <c r="C48" s="702">
        <f>'N411-20'!R13/1.15</f>
        <v>4.9110434782608694</v>
      </c>
      <c r="D48" s="700" t="s">
        <v>3</v>
      </c>
      <c r="E48" s="701"/>
      <c r="F48" s="702"/>
      <c r="G48" s="700"/>
      <c r="H48" s="771"/>
      <c r="I48" s="1509" t="s">
        <v>902</v>
      </c>
      <c r="J48" s="1509"/>
      <c r="K48" s="328">
        <f>'N411-20'!K49</f>
        <v>0</v>
      </c>
      <c r="L48" s="771" t="s">
        <v>1</v>
      </c>
      <c r="M48" s="326"/>
      <c r="N48" s="326"/>
      <c r="S48" s="113"/>
      <c r="V48" s="245" t="s">
        <v>619</v>
      </c>
      <c r="W48" s="424">
        <f>F44+F43*$K$18</f>
        <v>57.048469565217395</v>
      </c>
      <c r="X48" s="424">
        <f>C44+C43*$K$18</f>
        <v>47.356008695652172</v>
      </c>
      <c r="Y48" s="424">
        <f>SQRT(W48^2+X48^2)</f>
        <v>74.142561591276433</v>
      </c>
    </row>
    <row r="49" spans="1:33" ht="19.899999999999999" customHeight="1">
      <c r="A49" s="1575"/>
      <c r="B49" s="701" t="s">
        <v>744</v>
      </c>
      <c r="C49" s="702">
        <f>ABS('N411-20'!P13/1.15)</f>
        <v>1</v>
      </c>
      <c r="D49" s="700" t="s">
        <v>3</v>
      </c>
      <c r="E49" s="701" t="s">
        <v>745</v>
      </c>
      <c r="F49" s="702">
        <f>ABS('N411-20'!Q13/1.15)</f>
        <v>0</v>
      </c>
      <c r="G49" s="700" t="s">
        <v>3</v>
      </c>
      <c r="H49" s="771"/>
      <c r="I49" s="1509" t="s">
        <v>751</v>
      </c>
      <c r="J49" s="1509"/>
      <c r="K49" s="328">
        <f>'N411-20'!K50</f>
        <v>0</v>
      </c>
      <c r="L49" s="771" t="s">
        <v>4</v>
      </c>
      <c r="M49" s="326"/>
      <c r="N49" s="326"/>
      <c r="S49" s="113"/>
      <c r="V49" s="245" t="s">
        <v>620</v>
      </c>
      <c r="W49" s="424">
        <f>F47+F46*$K$18</f>
        <v>57.048469565217395</v>
      </c>
      <c r="X49" s="424">
        <f>C47+C46*$K$18</f>
        <v>47.356008695652172</v>
      </c>
      <c r="Y49" s="424">
        <f t="shared" ref="Y49:Y50" si="3">SQRT(W49^2+X49^2)</f>
        <v>74.142561591276433</v>
      </c>
    </row>
    <row r="50" spans="1:33" ht="19.899999999999999" customHeight="1">
      <c r="A50" s="1575"/>
      <c r="B50" s="701" t="s">
        <v>746</v>
      </c>
      <c r="C50" s="702">
        <f>ABS('N411-20'!T13/1.15)</f>
        <v>24.227573913043479</v>
      </c>
      <c r="D50" s="700" t="s">
        <v>4</v>
      </c>
      <c r="E50" s="701" t="s">
        <v>747</v>
      </c>
      <c r="F50" s="702">
        <f>ABS('N411-20'!S13/1.15)</f>
        <v>0.20745217391304288</v>
      </c>
      <c r="G50" s="700" t="s">
        <v>4</v>
      </c>
      <c r="H50" s="771"/>
      <c r="I50" s="771"/>
      <c r="J50" s="771"/>
      <c r="K50" s="326"/>
      <c r="L50" s="779"/>
      <c r="M50" s="326"/>
      <c r="N50" s="326"/>
      <c r="S50" s="113"/>
      <c r="V50" s="12" t="s">
        <v>628</v>
      </c>
      <c r="W50" s="424">
        <f>F50+F49*$K$18</f>
        <v>0.20745217391304288</v>
      </c>
      <c r="X50" s="424">
        <f>C50+C49*$K$18</f>
        <v>27.727573913043479</v>
      </c>
      <c r="Y50" s="424">
        <f t="shared" si="3"/>
        <v>27.728349960063444</v>
      </c>
    </row>
    <row r="51" spans="1:33" ht="19.899999999999999" customHeight="1">
      <c r="A51" s="807" t="s">
        <v>592</v>
      </c>
      <c r="D51" s="1179" t="s">
        <v>497</v>
      </c>
      <c r="E51" s="326" t="str">
        <f>J4</f>
        <v>TBA-1</v>
      </c>
      <c r="V51" s="808" t="s">
        <v>867</v>
      </c>
    </row>
    <row r="52" spans="1:33" ht="19.899999999999999" customHeight="1">
      <c r="A52" s="1502" t="s">
        <v>203</v>
      </c>
      <c r="B52" s="1502" t="s">
        <v>204</v>
      </c>
      <c r="C52" s="1579"/>
      <c r="D52" s="809" t="s">
        <v>205</v>
      </c>
      <c r="E52" s="809" t="s">
        <v>826</v>
      </c>
      <c r="F52" s="1580" t="s">
        <v>38</v>
      </c>
      <c r="G52" s="810" t="s">
        <v>827</v>
      </c>
      <c r="H52" s="811" t="s">
        <v>208</v>
      </c>
      <c r="I52" s="809" t="s">
        <v>25</v>
      </c>
      <c r="J52" s="809" t="s">
        <v>26</v>
      </c>
      <c r="K52" s="809" t="s">
        <v>828</v>
      </c>
      <c r="V52" s="812" t="s">
        <v>868</v>
      </c>
      <c r="Y52" s="11">
        <f>Y50*0.5</f>
        <v>13.864174980031722</v>
      </c>
    </row>
    <row r="53" spans="1:33" ht="19.899999999999999" customHeight="1">
      <c r="A53" s="1502"/>
      <c r="B53" s="1502"/>
      <c r="C53" s="1579"/>
      <c r="D53" s="813" t="s">
        <v>0</v>
      </c>
      <c r="E53" s="813" t="s">
        <v>24</v>
      </c>
      <c r="F53" s="1581"/>
      <c r="G53" s="814"/>
      <c r="H53" s="813" t="s">
        <v>206</v>
      </c>
      <c r="I53" s="813" t="s">
        <v>10</v>
      </c>
      <c r="J53" s="813" t="s">
        <v>10</v>
      </c>
      <c r="K53" s="813" t="s">
        <v>24</v>
      </c>
    </row>
    <row r="54" spans="1:33" ht="24" customHeight="1">
      <c r="A54" s="815" t="str">
        <f>V10</f>
        <v>Lớp 1</v>
      </c>
      <c r="B54" s="1574" t="str">
        <f>W10</f>
        <v>Á sét</v>
      </c>
      <c r="C54" s="1574"/>
      <c r="D54" s="816">
        <f t="shared" ref="D54:J54" si="4">X10</f>
        <v>2</v>
      </c>
      <c r="E54" s="816">
        <f t="shared" si="4"/>
        <v>1.79</v>
      </c>
      <c r="F54" s="816">
        <f t="shared" si="4"/>
        <v>2.61</v>
      </c>
      <c r="G54" s="817">
        <f t="shared" si="4"/>
        <v>0.61</v>
      </c>
      <c r="H54" s="816">
        <f t="shared" si="4"/>
        <v>15</v>
      </c>
      <c r="I54" s="816">
        <f t="shared" si="4"/>
        <v>4.7</v>
      </c>
      <c r="J54" s="816">
        <f t="shared" si="4"/>
        <v>550</v>
      </c>
      <c r="K54" s="816">
        <f>(F54-1)/(G54+1)</f>
        <v>1</v>
      </c>
      <c r="M54" s="9"/>
    </row>
    <row r="55" spans="1:33" ht="19.899999999999999" hidden="1" customHeight="1">
      <c r="A55" s="815"/>
      <c r="B55" s="1569" t="s">
        <v>485</v>
      </c>
      <c r="C55" s="1569"/>
      <c r="D55" s="816">
        <v>0.5</v>
      </c>
      <c r="E55" s="816">
        <v>1.55</v>
      </c>
      <c r="F55" s="818"/>
      <c r="G55" s="819"/>
      <c r="H55" s="816">
        <v>26</v>
      </c>
      <c r="I55" s="816">
        <v>0</v>
      </c>
      <c r="J55" s="816">
        <v>1100</v>
      </c>
      <c r="K55" s="820">
        <f>E55-1</f>
        <v>0.55000000000000004</v>
      </c>
      <c r="M55" s="9"/>
    </row>
    <row r="56" spans="1:33" s="6" customFormat="1" ht="24" customHeight="1">
      <c r="A56" s="815" t="str">
        <f>V11</f>
        <v>Lớp 1</v>
      </c>
      <c r="B56" s="1574" t="str">
        <f>W11</f>
        <v>Sét</v>
      </c>
      <c r="C56" s="1574"/>
      <c r="D56" s="816">
        <f t="shared" ref="D56:J56" si="5">X11</f>
        <v>3</v>
      </c>
      <c r="E56" s="816">
        <f t="shared" si="5"/>
        <v>1.83</v>
      </c>
      <c r="F56" s="816">
        <f t="shared" si="5"/>
        <v>2.59</v>
      </c>
      <c r="G56" s="817">
        <f t="shared" si="5"/>
        <v>0.62</v>
      </c>
      <c r="H56" s="816">
        <f t="shared" si="5"/>
        <v>17</v>
      </c>
      <c r="I56" s="816">
        <f t="shared" si="5"/>
        <v>5.4</v>
      </c>
      <c r="J56" s="816">
        <f t="shared" si="5"/>
        <v>550</v>
      </c>
      <c r="K56" s="816">
        <f>(F56-1)/(G56+1)</f>
        <v>0.98148148148148129</v>
      </c>
      <c r="M56" s="370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  <c r="AA56" s="258"/>
      <c r="AB56" s="258"/>
      <c r="AC56" s="258"/>
      <c r="AD56" s="258"/>
      <c r="AE56" s="258"/>
      <c r="AF56" s="258"/>
      <c r="AG56" s="258"/>
    </row>
    <row r="57" spans="1:33" ht="24" customHeight="1">
      <c r="A57" s="815" t="str">
        <f>IF(V12=0,"",V12)</f>
        <v>Lớp 1</v>
      </c>
      <c r="B57" s="1574" t="str">
        <f>IF(W12=0,"",W12)</f>
        <v>Sét</v>
      </c>
      <c r="C57" s="1574"/>
      <c r="D57" s="816">
        <f t="shared" ref="D57:J57" si="6">IF(X12=0,"",X12)</f>
        <v>3</v>
      </c>
      <c r="E57" s="816">
        <f t="shared" si="6"/>
        <v>1.85</v>
      </c>
      <c r="F57" s="816">
        <f t="shared" si="6"/>
        <v>2.61</v>
      </c>
      <c r="G57" s="817">
        <f t="shared" si="6"/>
        <v>0.6</v>
      </c>
      <c r="H57" s="816">
        <f t="shared" si="6"/>
        <v>19</v>
      </c>
      <c r="I57" s="816">
        <f t="shared" si="6"/>
        <v>5.9</v>
      </c>
      <c r="J57" s="816">
        <f t="shared" si="6"/>
        <v>550</v>
      </c>
      <c r="K57" s="816">
        <f>IF(F57="","",(F57-1)/(G57+1))</f>
        <v>1.0062499999999999</v>
      </c>
      <c r="M57" s="9"/>
    </row>
    <row r="58" spans="1:33" ht="19.899999999999999" customHeight="1">
      <c r="A58" s="800" t="s">
        <v>916</v>
      </c>
      <c r="B58" s="771"/>
      <c r="C58" s="771"/>
      <c r="D58" s="771"/>
      <c r="E58" s="771"/>
      <c r="F58" s="771"/>
      <c r="G58" s="771"/>
      <c r="H58" s="771"/>
      <c r="I58" s="771"/>
      <c r="J58" s="771"/>
      <c r="K58" s="326"/>
      <c r="L58" s="779"/>
    </row>
    <row r="59" spans="1:33" ht="19.899999999999999" hidden="1" customHeight="1">
      <c r="A59" s="800" t="s">
        <v>917</v>
      </c>
      <c r="B59" s="771"/>
      <c r="C59" s="771"/>
      <c r="D59" s="771"/>
      <c r="E59" s="771"/>
      <c r="F59" s="771"/>
      <c r="G59" s="771"/>
      <c r="H59" s="771"/>
      <c r="I59" s="771"/>
      <c r="J59" s="771"/>
      <c r="K59" s="326"/>
      <c r="L59" s="779"/>
      <c r="N59" s="3" t="s">
        <v>512</v>
      </c>
      <c r="O59" s="1583" t="s">
        <v>521</v>
      </c>
      <c r="P59" s="1583"/>
    </row>
    <row r="60" spans="1:33" ht="19.899999999999999" customHeight="1">
      <c r="A60" s="771"/>
      <c r="B60" s="780" t="s">
        <v>117</v>
      </c>
      <c r="C60" s="328">
        <f>IF(D54&gt;K14,H56,H54)</f>
        <v>15</v>
      </c>
      <c r="D60" s="779" t="s">
        <v>593</v>
      </c>
      <c r="E60" s="780"/>
      <c r="F60" s="326"/>
      <c r="G60" s="771"/>
      <c r="H60" s="771"/>
      <c r="I60" s="771"/>
      <c r="J60" s="771"/>
      <c r="K60" s="326"/>
      <c r="L60" s="779"/>
      <c r="M60" s="3" t="s">
        <v>513</v>
      </c>
      <c r="N60" s="3" t="s">
        <v>515</v>
      </c>
      <c r="O60" s="3" t="s">
        <v>522</v>
      </c>
      <c r="P60" s="3" t="s">
        <v>523</v>
      </c>
    </row>
    <row r="61" spans="1:33" ht="19.899999999999999" customHeight="1">
      <c r="A61" s="326"/>
      <c r="B61" s="780" t="s">
        <v>58</v>
      </c>
      <c r="C61" s="326">
        <f>ROUND(0.25*3.1416/(1/TAN(RADIANS(C60))+RADIANS(C60)-3.1516/2),2)</f>
        <v>0.32</v>
      </c>
      <c r="D61" s="780" t="s">
        <v>111</v>
      </c>
      <c r="E61" s="326">
        <f>ROUND((1+3.1416/(1/TAN(RADIANS(C60))+RADIANS(C60)-3.1416/2)),2)</f>
        <v>2.2999999999999998</v>
      </c>
      <c r="F61" s="780" t="s">
        <v>118</v>
      </c>
      <c r="G61" s="326">
        <f>ROUND(3.1416*1/TAN(RADIANS(C60))/(1/TAN(RADIANS(C60))+RADIANS(C60)-3.1416/2),2)</f>
        <v>4.84</v>
      </c>
      <c r="H61" s="771"/>
      <c r="I61" s="771"/>
      <c r="J61" s="326"/>
      <c r="K61" s="326"/>
      <c r="L61" s="326"/>
      <c r="M61" s="821" t="s">
        <v>514</v>
      </c>
      <c r="N61" s="3">
        <v>1.4</v>
      </c>
      <c r="O61" s="3">
        <v>1.2</v>
      </c>
      <c r="P61" s="3">
        <v>1.4</v>
      </c>
    </row>
    <row r="62" spans="1:33" ht="19.899999999999999" customHeight="1">
      <c r="A62" s="771"/>
      <c r="C62" s="780" t="s">
        <v>594</v>
      </c>
      <c r="D62" s="771" t="s">
        <v>923</v>
      </c>
      <c r="E62" s="771"/>
      <c r="F62" s="771"/>
      <c r="G62" s="780"/>
      <c r="H62" s="780" t="s">
        <v>829</v>
      </c>
      <c r="I62" s="326">
        <f>D63*F63/H63</f>
        <v>1.32</v>
      </c>
      <c r="J62" s="771"/>
      <c r="K62" s="326"/>
      <c r="L62" s="779"/>
      <c r="M62" s="3" t="s">
        <v>516</v>
      </c>
    </row>
    <row r="63" spans="1:33" ht="19.899999999999999" customHeight="1">
      <c r="A63" s="771"/>
      <c r="B63" s="771" t="s">
        <v>595</v>
      </c>
      <c r="C63" s="780" t="s">
        <v>903</v>
      </c>
      <c r="D63" s="326">
        <v>1.1000000000000001</v>
      </c>
      <c r="E63" s="780" t="s">
        <v>904</v>
      </c>
      <c r="F63" s="326">
        <v>1.2</v>
      </c>
      <c r="G63" s="780" t="s">
        <v>905</v>
      </c>
      <c r="H63" s="326">
        <v>1</v>
      </c>
      <c r="I63" s="326"/>
      <c r="J63" s="326"/>
      <c r="K63" s="326"/>
      <c r="L63" s="326"/>
      <c r="M63" s="822" t="s">
        <v>517</v>
      </c>
      <c r="N63" s="3">
        <v>1.3</v>
      </c>
      <c r="O63" s="3">
        <v>1.1000000000000001</v>
      </c>
      <c r="P63" s="3">
        <v>1.3</v>
      </c>
    </row>
    <row r="64" spans="1:33" ht="19.899999999999999" customHeight="1">
      <c r="A64" s="771"/>
      <c r="B64" s="823" t="s">
        <v>596</v>
      </c>
      <c r="D64" s="771"/>
      <c r="E64" s="780" t="s">
        <v>830</v>
      </c>
      <c r="F64" s="328">
        <f>W50</f>
        <v>0.20745217391304288</v>
      </c>
      <c r="G64" s="771" t="s">
        <v>4</v>
      </c>
      <c r="J64" s="780" t="s">
        <v>831</v>
      </c>
      <c r="K64" s="327">
        <f>Y50</f>
        <v>27.728349960063444</v>
      </c>
      <c r="L64" s="771" t="s">
        <v>4</v>
      </c>
      <c r="M64" s="3" t="s">
        <v>518</v>
      </c>
    </row>
    <row r="65" spans="1:22" ht="19.899999999999999" customHeight="1">
      <c r="A65" s="771"/>
      <c r="B65" s="823" t="s">
        <v>597</v>
      </c>
      <c r="C65" s="771"/>
      <c r="D65" s="771"/>
      <c r="E65" s="771"/>
      <c r="F65" s="782"/>
      <c r="G65" s="782"/>
      <c r="H65" s="782"/>
      <c r="I65" s="771"/>
      <c r="J65" s="771"/>
      <c r="K65" s="326"/>
      <c r="L65" s="779"/>
      <c r="M65" s="822" t="s">
        <v>519</v>
      </c>
      <c r="N65" s="3">
        <v>1.2</v>
      </c>
      <c r="O65" s="3">
        <v>1</v>
      </c>
      <c r="P65" s="3">
        <v>1.1000000000000001</v>
      </c>
    </row>
    <row r="66" spans="1:22" ht="19.899999999999999" customHeight="1">
      <c r="A66" s="823"/>
      <c r="B66" s="780" t="s">
        <v>906</v>
      </c>
      <c r="C66" s="328">
        <f>(C61*K10*K55+E61*D54*K54+G61*I55)*I62</f>
        <v>7.2336</v>
      </c>
      <c r="D66" s="771" t="s">
        <v>10</v>
      </c>
      <c r="E66" s="780" t="s">
        <v>832</v>
      </c>
      <c r="F66" s="328">
        <f>F67+F64/K34+K64/K36</f>
        <v>4.8857387377992163</v>
      </c>
      <c r="G66" s="771" t="s">
        <v>908</v>
      </c>
      <c r="H66" s="771"/>
      <c r="I66" s="328">
        <f>+C66*1.2</f>
        <v>8.68032</v>
      </c>
      <c r="J66" s="771" t="s">
        <v>10</v>
      </c>
      <c r="K66" s="326"/>
      <c r="L66" s="779"/>
      <c r="V66" s="3" t="str">
        <f>IF(I66&gt;F66,"Đạt", "Chưa đạt")</f>
        <v>Đạt</v>
      </c>
    </row>
    <row r="67" spans="1:22" ht="19.899999999999999" customHeight="1">
      <c r="A67" s="823"/>
      <c r="B67" s="780" t="s">
        <v>154</v>
      </c>
      <c r="C67" s="328">
        <f>C39+K30*2.5+K42*K54+K46*K54</f>
        <v>118.59486956521739</v>
      </c>
      <c r="D67" s="771" t="s">
        <v>3</v>
      </c>
      <c r="E67" s="780" t="s">
        <v>833</v>
      </c>
      <c r="F67" s="328">
        <f>C67/K32</f>
        <v>3.95316231884058</v>
      </c>
      <c r="G67" s="771" t="s">
        <v>907</v>
      </c>
      <c r="H67" s="771"/>
      <c r="I67" s="328">
        <f>+C66</f>
        <v>7.2336</v>
      </c>
      <c r="J67" s="771" t="s">
        <v>10</v>
      </c>
      <c r="K67" s="326"/>
      <c r="L67" s="779"/>
      <c r="M67" s="822" t="s">
        <v>520</v>
      </c>
      <c r="N67" s="3">
        <v>1.1000000000000001</v>
      </c>
      <c r="O67" s="3">
        <v>1</v>
      </c>
      <c r="P67" s="3">
        <v>1</v>
      </c>
      <c r="V67" s="3" t="str">
        <f>IF(I67&gt;F67,"Đạt", "Chưa đạt")</f>
        <v>Đạt</v>
      </c>
    </row>
    <row r="68" spans="1:22" ht="19.899999999999999" customHeight="1">
      <c r="A68" s="823"/>
      <c r="B68" s="771"/>
      <c r="C68" s="771"/>
      <c r="D68" s="771"/>
      <c r="E68" s="780" t="s">
        <v>834</v>
      </c>
      <c r="F68" s="328">
        <f>F67-F64/K34-K64/K36</f>
        <v>3.0205858998819433</v>
      </c>
      <c r="G68" s="771" t="s">
        <v>10</v>
      </c>
      <c r="H68" s="824" t="str">
        <f>+IF(F68&gt;0,"&gt; 0","@ 0")</f>
        <v>&gt; 0</v>
      </c>
      <c r="I68" s="328"/>
      <c r="J68" s="771"/>
      <c r="K68" s="328"/>
      <c r="L68" s="825"/>
      <c r="V68" s="3" t="str">
        <f>IF(F68&lt;-0.1,"Chưa đạt", "Đạt")</f>
        <v>Đạt</v>
      </c>
    </row>
    <row r="69" spans="1:22" ht="19.899999999999999" customHeight="1">
      <c r="A69" s="771"/>
      <c r="B69" s="823" t="s">
        <v>598</v>
      </c>
      <c r="C69" s="771"/>
      <c r="D69" s="771"/>
      <c r="E69" s="771"/>
      <c r="F69" s="328"/>
      <c r="G69" s="782"/>
      <c r="H69" s="782"/>
      <c r="I69" s="326"/>
      <c r="J69" s="771"/>
      <c r="K69" s="326"/>
      <c r="L69" s="779"/>
    </row>
    <row r="70" spans="1:22" ht="19.899999999999999" customHeight="1">
      <c r="A70" s="823"/>
      <c r="B70" s="780" t="s">
        <v>906</v>
      </c>
      <c r="C70" s="328">
        <f>(C61*K10*K55+E61*D54*E54+G61*I55)*I62</f>
        <v>12.030480000000001</v>
      </c>
      <c r="D70" s="771" t="s">
        <v>10</v>
      </c>
      <c r="E70" s="780" t="s">
        <v>832</v>
      </c>
      <c r="F70" s="328">
        <f>F71+F64/K34+K64/K36</f>
        <v>5.7958787377992174</v>
      </c>
      <c r="G70" s="771" t="s">
        <v>908</v>
      </c>
      <c r="H70" s="771"/>
      <c r="I70" s="328">
        <f>+C70*1.2</f>
        <v>14.436576000000001</v>
      </c>
      <c r="J70" s="771" t="s">
        <v>10</v>
      </c>
      <c r="K70" s="326"/>
      <c r="L70" s="779"/>
      <c r="V70" s="3" t="str">
        <f>IF(I70&gt;F70,"Đạt", "Chưa đạt")</f>
        <v>Đạt</v>
      </c>
    </row>
    <row r="71" spans="1:22" ht="19.899999999999999" customHeight="1">
      <c r="A71" s="823"/>
      <c r="B71" s="780" t="s">
        <v>154</v>
      </c>
      <c r="C71" s="328">
        <f>C39+K30*2.5+K42*1.55+K46*1.55</f>
        <v>145.89906956521742</v>
      </c>
      <c r="D71" s="771" t="s">
        <v>3</v>
      </c>
      <c r="E71" s="780" t="s">
        <v>833</v>
      </c>
      <c r="F71" s="328">
        <f>C71/K32</f>
        <v>4.8633023188405806</v>
      </c>
      <c r="G71" s="771" t="s">
        <v>907</v>
      </c>
      <c r="H71" s="771"/>
      <c r="I71" s="328">
        <f>+C70</f>
        <v>12.030480000000001</v>
      </c>
      <c r="J71" s="771" t="s">
        <v>10</v>
      </c>
      <c r="K71" s="326"/>
      <c r="L71" s="779"/>
      <c r="V71" s="3" t="str">
        <f>IF(I71&gt;F71,"Đạt", "Chưa đạt")</f>
        <v>Đạt</v>
      </c>
    </row>
    <row r="72" spans="1:22" ht="19.899999999999999" customHeight="1">
      <c r="A72" s="823"/>
      <c r="B72" s="780"/>
      <c r="C72" s="771"/>
      <c r="D72" s="771"/>
      <c r="E72" s="780" t="s">
        <v>834</v>
      </c>
      <c r="F72" s="328">
        <f>F71-F64/K34-K64/K36</f>
        <v>3.9307258998819439</v>
      </c>
      <c r="G72" s="771" t="s">
        <v>10</v>
      </c>
      <c r="H72" s="771" t="s">
        <v>138</v>
      </c>
      <c r="I72" s="328"/>
      <c r="J72" s="771"/>
      <c r="K72" s="326"/>
      <c r="L72" s="779"/>
      <c r="V72" s="3" t="str">
        <f>IF(F72&lt;-0.1,"Chưa đạt", "Đạt")</f>
        <v>Đạt</v>
      </c>
    </row>
    <row r="73" spans="1:22" ht="19.899999999999999" hidden="1" customHeight="1">
      <c r="A73" s="800" t="s">
        <v>918</v>
      </c>
      <c r="B73" s="771"/>
      <c r="C73" s="771"/>
      <c r="D73" s="771"/>
      <c r="E73" s="771"/>
      <c r="F73" s="782"/>
      <c r="G73" s="782"/>
      <c r="H73" s="782"/>
      <c r="I73" s="771"/>
      <c r="J73" s="771"/>
      <c r="K73" s="326"/>
      <c r="L73" s="779"/>
    </row>
    <row r="74" spans="1:22" ht="19.899999999999999" hidden="1" customHeight="1">
      <c r="A74" s="771"/>
      <c r="B74" s="780" t="s">
        <v>117</v>
      </c>
      <c r="C74" s="328">
        <f>H56</f>
        <v>17</v>
      </c>
      <c r="D74" s="771"/>
      <c r="E74" s="771" t="s">
        <v>835</v>
      </c>
      <c r="F74" s="782">
        <f>+K10+2*V74</f>
        <v>5.6</v>
      </c>
      <c r="G74" s="782" t="s">
        <v>0</v>
      </c>
      <c r="H74" s="782"/>
      <c r="I74" s="771"/>
      <c r="J74" s="771"/>
      <c r="K74" s="326"/>
      <c r="L74" s="779"/>
      <c r="V74" s="3">
        <f>IF(D55&gt;0.5,0.6,0.3)</f>
        <v>0.3</v>
      </c>
    </row>
    <row r="75" spans="1:22" ht="19.899999999999999" hidden="1" customHeight="1">
      <c r="A75" s="771"/>
      <c r="B75" s="780" t="s">
        <v>58</v>
      </c>
      <c r="C75" s="326">
        <f>ROUND(0.25*3.1416/(1/TAN(RADIANS(C74))+RADIANS(C74)-3.1516/2),2)</f>
        <v>0.39</v>
      </c>
      <c r="D75" s="771"/>
      <c r="E75" s="771" t="s">
        <v>912</v>
      </c>
      <c r="F75" s="782">
        <f>+K11+2*V74</f>
        <v>6.6</v>
      </c>
      <c r="G75" s="782" t="s">
        <v>0</v>
      </c>
      <c r="H75" s="782"/>
      <c r="I75" s="771"/>
      <c r="J75" s="771"/>
      <c r="K75" s="326"/>
      <c r="L75" s="779"/>
      <c r="N75" s="1"/>
    </row>
    <row r="76" spans="1:22" ht="19.899999999999999" hidden="1" customHeight="1">
      <c r="A76" s="771"/>
      <c r="B76" s="780" t="s">
        <v>111</v>
      </c>
      <c r="C76" s="326">
        <f>ROUND((1+3.1416/(1/TAN(RADIANS(C74))+RADIANS(C74)-3.1416/2)),2)</f>
        <v>2.57</v>
      </c>
      <c r="D76" s="771"/>
      <c r="E76" s="771" t="s">
        <v>913</v>
      </c>
      <c r="F76" s="782">
        <f>+D55+K14</f>
        <v>3</v>
      </c>
      <c r="G76" s="782" t="s">
        <v>0</v>
      </c>
      <c r="H76" s="782"/>
      <c r="I76" s="771"/>
      <c r="J76" s="771"/>
      <c r="K76" s="326"/>
      <c r="L76" s="779"/>
      <c r="N76" s="1"/>
    </row>
    <row r="77" spans="1:22" ht="19.899999999999999" hidden="1" customHeight="1">
      <c r="A77" s="771"/>
      <c r="B77" s="780" t="s">
        <v>118</v>
      </c>
      <c r="C77" s="326">
        <f>ROUND(3.1416*1/TAN(RADIANS(C74))/(1/TAN(RADIANS(C74))+RADIANS(C74)-3.1416/2),2)</f>
        <v>5.15</v>
      </c>
      <c r="D77" s="771"/>
      <c r="E77" s="771" t="s">
        <v>915</v>
      </c>
      <c r="F77" s="782">
        <f>+(F75*F74^3-K21^4)/6/F74</f>
        <v>34.495758928571419</v>
      </c>
      <c r="G77" s="779" t="s">
        <v>1</v>
      </c>
      <c r="H77" s="782"/>
      <c r="I77" s="771"/>
      <c r="J77" s="771"/>
      <c r="K77" s="326"/>
      <c r="L77" s="779"/>
    </row>
    <row r="78" spans="1:22" ht="19.899999999999999" hidden="1" customHeight="1">
      <c r="A78" s="771"/>
      <c r="B78" s="780"/>
      <c r="C78" s="771"/>
      <c r="D78" s="771"/>
      <c r="E78" s="771" t="s">
        <v>914</v>
      </c>
      <c r="F78" s="782">
        <f>+(F74*F75^3-K21^4)/6/F75</f>
        <v>40.655795454545455</v>
      </c>
      <c r="G78" s="779" t="s">
        <v>1</v>
      </c>
      <c r="H78" s="782"/>
      <c r="I78" s="771"/>
      <c r="J78" s="771"/>
      <c r="K78" s="326"/>
      <c r="L78" s="779"/>
    </row>
    <row r="79" spans="1:22" ht="19.899999999999999" hidden="1" customHeight="1">
      <c r="A79" s="771"/>
      <c r="B79" s="771" t="s">
        <v>599</v>
      </c>
      <c r="C79" s="771"/>
      <c r="D79" s="771" t="s">
        <v>836</v>
      </c>
      <c r="E79" s="771"/>
      <c r="F79" s="782"/>
      <c r="G79" s="771"/>
      <c r="H79" s="782"/>
      <c r="I79" s="771"/>
      <c r="J79" s="771"/>
      <c r="K79" s="326"/>
      <c r="L79" s="779"/>
    </row>
    <row r="80" spans="1:22" ht="19.899999999999999" hidden="1" customHeight="1">
      <c r="A80" s="771"/>
      <c r="B80" s="771" t="s">
        <v>596</v>
      </c>
      <c r="D80" s="771"/>
      <c r="E80" s="780" t="s">
        <v>837</v>
      </c>
      <c r="F80" s="769">
        <f>+F64+F40*D55</f>
        <v>0.98853913043478214</v>
      </c>
      <c r="G80" s="771" t="s">
        <v>4</v>
      </c>
      <c r="J80" s="780" t="s">
        <v>838</v>
      </c>
      <c r="K80" s="769">
        <f>+K64+D55*C40</f>
        <v>28.830263003541706</v>
      </c>
      <c r="L80" s="771" t="s">
        <v>4</v>
      </c>
    </row>
    <row r="81" spans="1:22" ht="19.899999999999999" hidden="1" customHeight="1">
      <c r="A81" s="771"/>
      <c r="B81" s="823" t="s">
        <v>597</v>
      </c>
      <c r="C81" s="771"/>
      <c r="D81" s="771"/>
      <c r="E81" s="771"/>
      <c r="F81" s="782"/>
      <c r="G81" s="782"/>
      <c r="H81" s="782"/>
      <c r="I81" s="771"/>
      <c r="J81" s="771"/>
      <c r="K81" s="326"/>
      <c r="L81" s="779"/>
    </row>
    <row r="82" spans="1:22" ht="19.899999999999999" hidden="1" customHeight="1">
      <c r="A82" s="771"/>
      <c r="B82" s="780" t="s">
        <v>906</v>
      </c>
      <c r="C82" s="327">
        <f>(+C75*F74*K56+C76*(D54*K54+D55*K55)+C77*I56)*I62</f>
        <v>47.256403333333331</v>
      </c>
      <c r="D82" s="771" t="s">
        <v>10</v>
      </c>
      <c r="E82" s="780" t="s">
        <v>832</v>
      </c>
      <c r="F82" s="328">
        <f>+C83/(F74*F75-K21^2)+F80/F77+K80/F78</f>
        <v>3.8510845415058319</v>
      </c>
      <c r="G82" s="771" t="s">
        <v>10</v>
      </c>
      <c r="H82" s="771" t="s">
        <v>911</v>
      </c>
      <c r="I82" s="327">
        <f>1.2*C82</f>
        <v>56.707683999999993</v>
      </c>
      <c r="J82" s="771" t="s">
        <v>10</v>
      </c>
      <c r="K82" s="326"/>
      <c r="L82" s="779"/>
      <c r="V82" s="3" t="str">
        <f>IF(I82&gt;F82,"Đạt", "Chưa đạt")</f>
        <v>Đạt</v>
      </c>
    </row>
    <row r="83" spans="1:22" ht="19.899999999999999" hidden="1" customHeight="1">
      <c r="A83" s="771"/>
      <c r="B83" s="780" t="s">
        <v>154</v>
      </c>
      <c r="C83" s="327">
        <f>+C39+K42*K54+K30*1.4+(F74*F75-K10*K11)*D54*K54+F75*F74*D55*K55+K46*K54</f>
        <v>114.78726956521739</v>
      </c>
      <c r="D83" s="771" t="s">
        <v>3</v>
      </c>
      <c r="E83" s="780" t="s">
        <v>833</v>
      </c>
      <c r="F83" s="328">
        <f>+(F84+F82)/2</f>
        <v>3.1132972488531983</v>
      </c>
      <c r="G83" s="771" t="s">
        <v>10</v>
      </c>
      <c r="H83" s="771" t="s">
        <v>910</v>
      </c>
      <c r="I83" s="327">
        <f>+C82</f>
        <v>47.256403333333331</v>
      </c>
      <c r="J83" s="771" t="s">
        <v>10</v>
      </c>
      <c r="K83" s="326"/>
      <c r="L83" s="779"/>
      <c r="V83" s="3" t="str">
        <f>IF(I83&gt;F83,"Đạt", "Chưa đạt")</f>
        <v>Đạt</v>
      </c>
    </row>
    <row r="84" spans="1:22" ht="19.899999999999999" hidden="1" customHeight="1">
      <c r="A84" s="771"/>
      <c r="B84" s="771"/>
      <c r="C84" s="771"/>
      <c r="D84" s="771"/>
      <c r="E84" s="780" t="s">
        <v>834</v>
      </c>
      <c r="F84" s="328">
        <f>+C83/(F74*F75-K21^2)-F80/F77-K80/F78</f>
        <v>2.3755099562005646</v>
      </c>
      <c r="G84" s="771" t="s">
        <v>10</v>
      </c>
      <c r="H84" s="782" t="s">
        <v>909</v>
      </c>
      <c r="I84" s="326"/>
      <c r="J84" s="771"/>
      <c r="K84" s="326"/>
      <c r="L84" s="779"/>
      <c r="V84" s="3" t="str">
        <f>IF(F84&lt;-0.1,"Chưa đạt", "Đạt")</f>
        <v>Đạt</v>
      </c>
    </row>
    <row r="85" spans="1:22" ht="19.899999999999999" hidden="1" customHeight="1">
      <c r="A85" s="771"/>
      <c r="B85" s="771"/>
      <c r="C85" s="771"/>
      <c r="D85" s="771"/>
      <c r="E85" s="771"/>
      <c r="F85" s="326"/>
      <c r="G85" s="771"/>
      <c r="H85" s="771"/>
      <c r="I85" s="326"/>
      <c r="J85" s="326"/>
      <c r="K85" s="326"/>
      <c r="L85" s="779"/>
    </row>
    <row r="86" spans="1:22" ht="19.899999999999999" hidden="1" customHeight="1">
      <c r="A86" s="771"/>
      <c r="B86" s="771"/>
      <c r="C86" s="771"/>
      <c r="D86" s="771"/>
      <c r="E86" s="771"/>
      <c r="F86" s="326"/>
      <c r="G86" s="771"/>
      <c r="H86" s="771"/>
      <c r="I86" s="326"/>
      <c r="J86" s="326"/>
      <c r="K86" s="326"/>
      <c r="L86" s="779"/>
    </row>
    <row r="87" spans="1:22" ht="19.899999999999999" hidden="1" customHeight="1">
      <c r="A87" s="771"/>
      <c r="B87" s="823" t="s">
        <v>598</v>
      </c>
      <c r="C87" s="771"/>
      <c r="D87" s="780"/>
      <c r="E87" s="782"/>
      <c r="F87" s="326"/>
      <c r="G87" s="782"/>
      <c r="H87" s="782"/>
      <c r="I87" s="326"/>
      <c r="J87" s="326"/>
      <c r="K87" s="326"/>
      <c r="L87" s="779"/>
    </row>
    <row r="88" spans="1:22" ht="19.899999999999999" hidden="1" customHeight="1">
      <c r="A88" s="771"/>
      <c r="B88" s="780" t="s">
        <v>906</v>
      </c>
      <c r="C88" s="826">
        <f>(+C75*F74*K56+C76*(D54*E54+D55*E55)+C77*I56)*I62</f>
        <v>54.312595333333341</v>
      </c>
      <c r="D88" s="771" t="s">
        <v>10</v>
      </c>
      <c r="E88" s="780" t="s">
        <v>832</v>
      </c>
      <c r="F88" s="328">
        <f>+C89/(F74*F75-K21^2)+F80/F77+K80/F78</f>
        <v>5.4869999198622192</v>
      </c>
      <c r="G88" s="771" t="s">
        <v>10</v>
      </c>
      <c r="H88" s="771" t="s">
        <v>911</v>
      </c>
      <c r="I88" s="327">
        <f>1.2*C88</f>
        <v>65.175114400000012</v>
      </c>
      <c r="J88" s="771" t="s">
        <v>10</v>
      </c>
      <c r="K88" s="326"/>
      <c r="L88" s="779"/>
      <c r="V88" s="3" t="str">
        <f>IF(I88&gt;F88,"Đạt", "Chưa đạt")</f>
        <v>Đạt</v>
      </c>
    </row>
    <row r="89" spans="1:22" ht="19.899999999999999" hidden="1" customHeight="1">
      <c r="A89" s="771"/>
      <c r="B89" s="780" t="s">
        <v>154</v>
      </c>
      <c r="C89" s="826">
        <f>+C39+K42*1.55+K30*2.4+(F74*F75-K10*K11)*D54*1.55+F75*F74*D55*K55+K46*1.55</f>
        <v>175.10346956521738</v>
      </c>
      <c r="D89" s="771" t="s">
        <v>3</v>
      </c>
      <c r="E89" s="780" t="s">
        <v>833</v>
      </c>
      <c r="F89" s="328">
        <f>+(F88+F90)/2</f>
        <v>4.7492126272095856</v>
      </c>
      <c r="G89" s="771" t="s">
        <v>10</v>
      </c>
      <c r="H89" s="771" t="s">
        <v>910</v>
      </c>
      <c r="I89" s="327">
        <f>+C88</f>
        <v>54.312595333333341</v>
      </c>
      <c r="J89" s="771" t="s">
        <v>10</v>
      </c>
      <c r="K89" s="326"/>
      <c r="L89" s="779"/>
      <c r="V89" s="3" t="str">
        <f>IF(I89&gt;F89,"Đạt", "Chưa đạt")</f>
        <v>Đạt</v>
      </c>
    </row>
    <row r="90" spans="1:22" ht="19.899999999999999" hidden="1" customHeight="1">
      <c r="A90" s="771"/>
      <c r="B90" s="771"/>
      <c r="C90" s="771"/>
      <c r="D90" s="771"/>
      <c r="E90" s="780" t="s">
        <v>834</v>
      </c>
      <c r="F90" s="328">
        <f>+C89/(F74*F75-K21^2)-F80/F77-K80/F78</f>
        <v>4.0114253345569519</v>
      </c>
      <c r="G90" s="771" t="s">
        <v>10</v>
      </c>
      <c r="H90" s="782" t="s">
        <v>909</v>
      </c>
      <c r="I90" s="782"/>
      <c r="J90" s="771"/>
      <c r="K90" s="771"/>
      <c r="L90" s="779"/>
      <c r="V90" s="3" t="str">
        <f>IF(F90&lt;-0.1,"Chưa đạt", "Đạt")</f>
        <v>Đạt</v>
      </c>
    </row>
    <row r="91" spans="1:22" ht="19.899999999999999" hidden="1" customHeight="1">
      <c r="B91" s="771"/>
      <c r="C91" s="771"/>
      <c r="D91" s="771"/>
      <c r="E91" s="771"/>
      <c r="F91" s="771"/>
      <c r="G91" s="771"/>
      <c r="H91" s="771"/>
      <c r="I91" s="771"/>
      <c r="J91" s="771"/>
      <c r="K91" s="326"/>
      <c r="L91" s="779"/>
    </row>
    <row r="92" spans="1:22" ht="19.899999999999999" hidden="1" customHeight="1">
      <c r="B92" s="771"/>
      <c r="C92" s="771"/>
      <c r="D92" s="771"/>
      <c r="E92" s="771"/>
      <c r="F92" s="771"/>
      <c r="G92" s="771"/>
      <c r="H92" s="771"/>
      <c r="I92" s="771"/>
      <c r="J92" s="771"/>
      <c r="K92" s="326"/>
      <c r="L92" s="779"/>
    </row>
    <row r="93" spans="1:22" ht="19.899999999999999" hidden="1" customHeight="1">
      <c r="B93" s="771"/>
      <c r="C93" s="771"/>
      <c r="D93" s="780"/>
      <c r="E93" s="782"/>
      <c r="F93" s="771"/>
      <c r="G93" s="782"/>
      <c r="H93" s="782"/>
      <c r="I93" s="771"/>
      <c r="J93" s="771"/>
      <c r="K93" s="326"/>
      <c r="L93" s="779"/>
    </row>
    <row r="94" spans="1:22" ht="19.899999999999999" hidden="1" customHeight="1">
      <c r="A94" s="382"/>
      <c r="B94" s="377"/>
      <c r="C94" s="377"/>
      <c r="D94" s="780"/>
      <c r="E94" s="782"/>
      <c r="F94" s="771"/>
      <c r="G94" s="771"/>
      <c r="H94" s="782"/>
      <c r="I94" s="771"/>
      <c r="J94" s="771"/>
      <c r="K94" s="326"/>
      <c r="L94" s="779"/>
    </row>
    <row r="95" spans="1:22" ht="19.899999999999999" hidden="1" customHeight="1">
      <c r="A95" s="827"/>
      <c r="B95" s="771"/>
      <c r="C95" s="771"/>
      <c r="D95" s="780"/>
      <c r="E95" s="782"/>
      <c r="F95" s="771"/>
      <c r="G95" s="782"/>
      <c r="H95" s="782"/>
      <c r="I95" s="771"/>
      <c r="J95" s="771"/>
      <c r="K95" s="326"/>
      <c r="L95" s="779"/>
    </row>
    <row r="96" spans="1:22" ht="19.899999999999999" customHeight="1">
      <c r="B96" s="800" t="s">
        <v>600</v>
      </c>
      <c r="C96" s="771"/>
      <c r="D96" s="771"/>
      <c r="E96" s="771"/>
      <c r="F96" s="771"/>
      <c r="G96" s="771"/>
      <c r="H96" s="771"/>
      <c r="I96" s="771"/>
      <c r="J96" s="771"/>
      <c r="K96" s="326"/>
      <c r="L96" s="779"/>
    </row>
    <row r="97" spans="1:23" ht="19.899999999999999" customHeight="1">
      <c r="A97" s="800" t="s">
        <v>919</v>
      </c>
      <c r="B97" s="771"/>
      <c r="C97" s="771"/>
      <c r="D97" s="771"/>
      <c r="E97" s="771"/>
      <c r="F97" s="771"/>
      <c r="G97" s="771"/>
      <c r="H97" s="771"/>
      <c r="I97" s="771"/>
      <c r="J97" s="771"/>
      <c r="K97" s="326"/>
      <c r="L97" s="779"/>
    </row>
    <row r="98" spans="1:23" ht="19.899999999999999" customHeight="1">
      <c r="A98" s="771"/>
      <c r="B98" s="771" t="s">
        <v>601</v>
      </c>
      <c r="C98" s="771"/>
      <c r="D98" s="771"/>
      <c r="E98" s="771"/>
      <c r="F98" s="771"/>
      <c r="G98" s="771"/>
      <c r="H98" s="771"/>
      <c r="I98" s="771"/>
      <c r="J98" s="771"/>
      <c r="K98" s="326"/>
      <c r="L98" s="779"/>
    </row>
    <row r="99" spans="1:23" ht="19.899999999999999" customHeight="1">
      <c r="A99" s="771"/>
      <c r="B99" s="771" t="s">
        <v>602</v>
      </c>
      <c r="C99" s="771"/>
      <c r="D99" s="771"/>
      <c r="E99" s="771"/>
      <c r="G99" s="828" t="s">
        <v>839</v>
      </c>
      <c r="H99" s="829">
        <f>F67-K14*K54</f>
        <v>1.45316231884058</v>
      </c>
      <c r="I99" s="771" t="s">
        <v>10</v>
      </c>
      <c r="J99" s="771"/>
      <c r="K99" s="326"/>
      <c r="L99" s="779"/>
    </row>
    <row r="100" spans="1:23" ht="19.899999999999999" customHeight="1">
      <c r="A100" s="771"/>
      <c r="B100" s="771" t="s">
        <v>603</v>
      </c>
      <c r="C100" s="771"/>
      <c r="D100" s="771"/>
      <c r="E100" s="771"/>
      <c r="G100" s="828" t="s">
        <v>839</v>
      </c>
      <c r="H100" s="829">
        <f>F71-E54*K14</f>
        <v>0.38830231884058097</v>
      </c>
      <c r="I100" s="771" t="s">
        <v>10</v>
      </c>
      <c r="J100" s="771"/>
      <c r="K100" s="326"/>
      <c r="L100" s="779"/>
    </row>
    <row r="101" spans="1:23" ht="19.899999999999999" customHeight="1">
      <c r="A101" s="771"/>
      <c r="B101" s="771" t="s">
        <v>209</v>
      </c>
      <c r="C101" s="771"/>
      <c r="D101" s="771"/>
      <c r="E101" s="771"/>
      <c r="G101" s="830" t="s">
        <v>840</v>
      </c>
      <c r="H101" s="829">
        <f>+MAX(H99,H100)</f>
        <v>1.45316231884058</v>
      </c>
      <c r="I101" s="771" t="s">
        <v>10</v>
      </c>
      <c r="K101" s="780" t="s">
        <v>604</v>
      </c>
      <c r="L101" s="771" t="s">
        <v>63</v>
      </c>
    </row>
    <row r="102" spans="1:23" ht="19.899999999999999" customHeight="1">
      <c r="A102" s="771"/>
      <c r="B102" s="700" t="s">
        <v>841</v>
      </c>
      <c r="C102" s="771"/>
      <c r="D102" s="771"/>
      <c r="E102" s="771"/>
      <c r="F102" s="771"/>
      <c r="G102" s="771"/>
      <c r="H102" s="771"/>
      <c r="I102" s="771"/>
      <c r="J102" s="771"/>
      <c r="K102" s="326"/>
      <c r="L102" s="779"/>
    </row>
    <row r="103" spans="1:23" ht="40.15" customHeight="1">
      <c r="B103" s="831" t="s">
        <v>137</v>
      </c>
      <c r="C103" s="833" t="s">
        <v>934</v>
      </c>
      <c r="D103" s="832" t="s">
        <v>27</v>
      </c>
      <c r="E103" s="833" t="s">
        <v>28</v>
      </c>
      <c r="F103" s="1208" t="s">
        <v>933</v>
      </c>
      <c r="G103" s="833" t="s">
        <v>842</v>
      </c>
      <c r="H103" s="833" t="s">
        <v>843</v>
      </c>
      <c r="I103" s="833" t="s">
        <v>844</v>
      </c>
      <c r="J103" s="834" t="s">
        <v>726</v>
      </c>
    </row>
    <row r="104" spans="1:23" ht="19.899999999999999" customHeight="1">
      <c r="B104" s="835">
        <v>1</v>
      </c>
      <c r="C104" s="836">
        <f t="shared" ref="C104:C125" si="7">+$K$10/2*D104</f>
        <v>0</v>
      </c>
      <c r="D104" s="837">
        <v>0</v>
      </c>
      <c r="E104" s="838">
        <f>+VLOOKUP(D104,Tra!$C$19:$J$115,5,0)</f>
        <v>1</v>
      </c>
      <c r="F104" s="839">
        <f>IF(D55=0,J54,J55)</f>
        <v>1100</v>
      </c>
      <c r="G104" s="838">
        <f>H101*E104</f>
        <v>1.45316231884058</v>
      </c>
      <c r="H104" s="838">
        <f t="shared" ref="H104:H125" si="8">$K$14*$K$54+$K$56*C104</f>
        <v>2.5</v>
      </c>
      <c r="I104" s="838">
        <f>IF(G104&gt;0.1*H104,0.8*C104*(G104+G105)/2/F104*1000,"-")</f>
        <v>0</v>
      </c>
      <c r="J104" s="840" t="str">
        <f>IF(H104/G104&gt;$I$126,"STOP","CONT")</f>
        <v>CONT</v>
      </c>
      <c r="M104" s="841">
        <f t="shared" ref="M104:M118" si="9">+H104/G104</f>
        <v>1.7203859249492857</v>
      </c>
      <c r="P104" s="3">
        <f>SUMIF($J$104:$J$118,"CONT",$I$104:$I$118)</f>
        <v>4.1437584050065883</v>
      </c>
      <c r="Q104" s="3">
        <f>SUMIF($J$104:$J$118,"CONT",$D$104:$D$118)</f>
        <v>5.5</v>
      </c>
    </row>
    <row r="105" spans="1:23" ht="19.899999999999999" customHeight="1">
      <c r="B105" s="842">
        <f t="shared" ref="B105:B125" si="10">+B104+1</f>
        <v>2</v>
      </c>
      <c r="C105" s="843">
        <f t="shared" si="7"/>
        <v>0.25</v>
      </c>
      <c r="D105" s="844">
        <f t="shared" ref="D105:D125" si="11">+ROUND(D104+0.1,2)</f>
        <v>0.1</v>
      </c>
      <c r="E105" s="845">
        <f>+VLOOKUP(D105,Tra!$C$19:$J$115,5,0)</f>
        <v>0.99199999999999999</v>
      </c>
      <c r="F105" s="846">
        <f>IF(C105&lt;=$D$55,$J$55,IF(AND($D$55&lt;C105,C105&lt;=($D$56+$D$55)),$J$56,$J$57))</f>
        <v>1100</v>
      </c>
      <c r="G105" s="845">
        <f t="shared" ref="G105:G125" si="12">$H$101*E105</f>
        <v>1.4415370202898554</v>
      </c>
      <c r="H105" s="845">
        <f t="shared" si="8"/>
        <v>2.7453703703703702</v>
      </c>
      <c r="I105" s="845">
        <f t="shared" ref="I105:I117" si="13">0.8*$C$105*(G105+G106)/2/F105*1000</f>
        <v>0.26104079472990777</v>
      </c>
      <c r="J105" s="847" t="str">
        <f>IF(H105/G105&gt;$I$126,"STOP","CONT")</f>
        <v>CONT</v>
      </c>
      <c r="M105" s="841">
        <f t="shared" si="9"/>
        <v>1.9044744128862872</v>
      </c>
      <c r="N105" s="5" t="str">
        <f t="shared" ref="N105:N118" si="14">+IF(H105/G105&lt;=$I$126,"X","")</f>
        <v>X</v>
      </c>
      <c r="O105" s="3">
        <v>1</v>
      </c>
    </row>
    <row r="106" spans="1:23" ht="19.899999999999999" customHeight="1">
      <c r="B106" s="842">
        <f t="shared" si="10"/>
        <v>3</v>
      </c>
      <c r="C106" s="843">
        <f t="shared" si="7"/>
        <v>0.5</v>
      </c>
      <c r="D106" s="844">
        <f>+ROUND(D105+0.1,2)</f>
        <v>0.2</v>
      </c>
      <c r="E106" s="845">
        <f>+VLOOKUP(D106,Tra!$C$19:$J$115,5,0)</f>
        <v>0.98399999999999999</v>
      </c>
      <c r="F106" s="846">
        <f t="shared" ref="F106:F125" si="15">IF(C106&lt;=$D$55,$J$55,IF(AND($D$55&lt;C106,C106&lt;=($D$56+$D$55)),$J$56,$J$57))</f>
        <v>1100</v>
      </c>
      <c r="G106" s="845">
        <f t="shared" si="12"/>
        <v>1.4299117217391306</v>
      </c>
      <c r="H106" s="845">
        <f t="shared" si="8"/>
        <v>2.9907407407407405</v>
      </c>
      <c r="I106" s="845">
        <f t="shared" si="13"/>
        <v>0.25892710408432151</v>
      </c>
      <c r="J106" s="847" t="str">
        <f t="shared" ref="J106:J117" si="16">IF(H106/G106&gt;$I$126,"STOP","CONT")</f>
        <v>CONT</v>
      </c>
      <c r="M106" s="841">
        <f t="shared" si="9"/>
        <v>2.091556209570232</v>
      </c>
      <c r="N106" s="5" t="str">
        <f t="shared" si="14"/>
        <v>X</v>
      </c>
      <c r="O106" s="3">
        <v>1</v>
      </c>
    </row>
    <row r="107" spans="1:23" ht="19.899999999999999" customHeight="1">
      <c r="B107" s="842">
        <f t="shared" si="10"/>
        <v>4</v>
      </c>
      <c r="C107" s="843">
        <f t="shared" si="7"/>
        <v>0.75</v>
      </c>
      <c r="D107" s="844">
        <f t="shared" si="11"/>
        <v>0.3</v>
      </c>
      <c r="E107" s="845">
        <f>+VLOOKUP(D107,Tra!$C$19:$J$115,5,0)</f>
        <v>0.97599999999999998</v>
      </c>
      <c r="F107" s="846">
        <f t="shared" si="15"/>
        <v>550</v>
      </c>
      <c r="G107" s="845">
        <f t="shared" si="12"/>
        <v>1.418286423188406</v>
      </c>
      <c r="H107" s="845">
        <f t="shared" si="8"/>
        <v>3.2361111111111107</v>
      </c>
      <c r="I107" s="845">
        <f t="shared" si="13"/>
        <v>0.51362682687747041</v>
      </c>
      <c r="J107" s="847" t="str">
        <f t="shared" si="16"/>
        <v>CONT</v>
      </c>
      <c r="M107" s="841">
        <f t="shared" si="9"/>
        <v>2.2817049209539135</v>
      </c>
      <c r="N107" s="5" t="str">
        <f t="shared" si="14"/>
        <v>X</v>
      </c>
      <c r="O107" s="3">
        <v>1</v>
      </c>
      <c r="V107" s="679" t="s">
        <v>732</v>
      </c>
      <c r="W107" s="848">
        <f>COUNTIF(J104:J118,"CONT")</f>
        <v>11</v>
      </c>
    </row>
    <row r="108" spans="1:23" ht="19.899999999999999" customHeight="1">
      <c r="B108" s="842">
        <f t="shared" si="10"/>
        <v>5</v>
      </c>
      <c r="C108" s="843">
        <f t="shared" si="7"/>
        <v>1</v>
      </c>
      <c r="D108" s="844">
        <f t="shared" si="11"/>
        <v>0.4</v>
      </c>
      <c r="E108" s="845">
        <f>+VLOOKUP(D108,Tra!$C$19:$J$115,5,0)</f>
        <v>0.96799999999999997</v>
      </c>
      <c r="F108" s="846">
        <f t="shared" si="15"/>
        <v>550</v>
      </c>
      <c r="G108" s="845">
        <f t="shared" si="12"/>
        <v>1.4066611246376814</v>
      </c>
      <c r="H108" s="845">
        <f t="shared" si="8"/>
        <v>3.4814814814814814</v>
      </c>
      <c r="I108" s="845">
        <f t="shared" si="13"/>
        <v>0.5023978453227933</v>
      </c>
      <c r="J108" s="847" t="str">
        <f t="shared" si="16"/>
        <v>CONT</v>
      </c>
      <c r="M108" s="841">
        <f t="shared" si="9"/>
        <v>2.4749965862447634</v>
      </c>
      <c r="N108" s="5" t="str">
        <f t="shared" si="14"/>
        <v>X</v>
      </c>
      <c r="O108" s="3">
        <v>1</v>
      </c>
    </row>
    <row r="109" spans="1:23" ht="19.899999999999999" customHeight="1">
      <c r="B109" s="842">
        <f t="shared" si="10"/>
        <v>6</v>
      </c>
      <c r="C109" s="843">
        <f t="shared" si="7"/>
        <v>1.25</v>
      </c>
      <c r="D109" s="844">
        <f t="shared" si="11"/>
        <v>0.5</v>
      </c>
      <c r="E109" s="845">
        <f>+VLOOKUP(D109,Tra!$C$19:$J$115,5,0)</f>
        <v>0.9335</v>
      </c>
      <c r="F109" s="846">
        <f t="shared" si="15"/>
        <v>550</v>
      </c>
      <c r="G109" s="845">
        <f t="shared" si="12"/>
        <v>1.3565270246376815</v>
      </c>
      <c r="H109" s="845">
        <f t="shared" si="8"/>
        <v>3.7268518518518516</v>
      </c>
      <c r="I109" s="845">
        <f t="shared" si="13"/>
        <v>0.48416726350461142</v>
      </c>
      <c r="J109" s="847" t="str">
        <f t="shared" si="16"/>
        <v>CONT</v>
      </c>
      <c r="M109" s="841">
        <f t="shared" si="9"/>
        <v>2.7473480322644268</v>
      </c>
      <c r="N109" s="5" t="str">
        <f t="shared" si="14"/>
        <v>X</v>
      </c>
      <c r="O109" s="3">
        <v>1</v>
      </c>
    </row>
    <row r="110" spans="1:23" ht="19.899999999999999" customHeight="1">
      <c r="B110" s="842">
        <f t="shared" si="10"/>
        <v>7</v>
      </c>
      <c r="C110" s="843">
        <f t="shared" si="7"/>
        <v>1.5</v>
      </c>
      <c r="D110" s="844">
        <f t="shared" si="11"/>
        <v>0.6</v>
      </c>
      <c r="E110" s="845">
        <f>+VLOOKUP(D110,Tra!$C$19:$J$115,5,0)</f>
        <v>0.89900000000000002</v>
      </c>
      <c r="F110" s="846">
        <f t="shared" si="15"/>
        <v>550</v>
      </c>
      <c r="G110" s="845">
        <f t="shared" si="12"/>
        <v>1.3063929246376815</v>
      </c>
      <c r="H110" s="845">
        <f t="shared" si="8"/>
        <v>3.9722222222222219</v>
      </c>
      <c r="I110" s="845">
        <f t="shared" si="13"/>
        <v>0.46593668168642977</v>
      </c>
      <c r="J110" s="847" t="str">
        <f t="shared" si="16"/>
        <v>CONT</v>
      </c>
      <c r="M110" s="841">
        <f t="shared" si="9"/>
        <v>3.0406029819274232</v>
      </c>
      <c r="N110" s="5" t="str">
        <f t="shared" si="14"/>
        <v>X</v>
      </c>
      <c r="O110" s="3">
        <v>1</v>
      </c>
      <c r="P110" s="3">
        <f>COUNTIF($J$104:$J$118,"STOP")</f>
        <v>4</v>
      </c>
    </row>
    <row r="111" spans="1:23" ht="19.899999999999999" customHeight="1">
      <c r="B111" s="842">
        <f t="shared" si="10"/>
        <v>8</v>
      </c>
      <c r="C111" s="843">
        <f t="shared" si="7"/>
        <v>1.75</v>
      </c>
      <c r="D111" s="844">
        <f t="shared" si="11"/>
        <v>0.7</v>
      </c>
      <c r="E111" s="845">
        <f>+VLOOKUP(D111,Tra!$C$19:$J$115,5,0)</f>
        <v>0.86450000000000005</v>
      </c>
      <c r="F111" s="846">
        <f t="shared" si="15"/>
        <v>550</v>
      </c>
      <c r="G111" s="845">
        <f t="shared" si="12"/>
        <v>1.2562588246376816</v>
      </c>
      <c r="H111" s="845">
        <f t="shared" si="8"/>
        <v>4.2175925925925926</v>
      </c>
      <c r="I111" s="845">
        <f t="shared" si="13"/>
        <v>0.44770609986824789</v>
      </c>
      <c r="J111" s="847" t="str">
        <f t="shared" si="16"/>
        <v>CONT</v>
      </c>
      <c r="M111" s="841">
        <f t="shared" si="9"/>
        <v>3.3572640525004798</v>
      </c>
      <c r="N111" s="5" t="str">
        <f t="shared" si="14"/>
        <v>X</v>
      </c>
      <c r="O111" s="3">
        <v>1</v>
      </c>
    </row>
    <row r="112" spans="1:23" ht="19.899999999999999" customHeight="1">
      <c r="B112" s="842">
        <f t="shared" si="10"/>
        <v>9</v>
      </c>
      <c r="C112" s="843">
        <f t="shared" si="7"/>
        <v>2</v>
      </c>
      <c r="D112" s="844">
        <f t="shared" si="11"/>
        <v>0.8</v>
      </c>
      <c r="E112" s="845">
        <f>+VLOOKUP(D112,Tra!$C$19:$J$115,5,0)</f>
        <v>0.83</v>
      </c>
      <c r="F112" s="846">
        <f t="shared" si="15"/>
        <v>550</v>
      </c>
      <c r="G112" s="845">
        <f t="shared" si="12"/>
        <v>1.2061247246376814</v>
      </c>
      <c r="H112" s="845">
        <f t="shared" si="8"/>
        <v>4.4629629629629628</v>
      </c>
      <c r="I112" s="845">
        <f>0.8*$C$105*(G112+G113)/2/F112*1000</f>
        <v>0.42683340474308307</v>
      </c>
      <c r="J112" s="847" t="str">
        <f t="shared" si="16"/>
        <v>CONT</v>
      </c>
      <c r="M112" s="841">
        <f t="shared" si="9"/>
        <v>3.7002499590609355</v>
      </c>
      <c r="N112" s="5" t="str">
        <f t="shared" si="14"/>
        <v>X</v>
      </c>
      <c r="O112" s="3">
        <v>1</v>
      </c>
    </row>
    <row r="113" spans="2:24" ht="19.899999999999999" customHeight="1">
      <c r="B113" s="842">
        <f t="shared" si="10"/>
        <v>10</v>
      </c>
      <c r="C113" s="843">
        <f t="shared" si="7"/>
        <v>2.25</v>
      </c>
      <c r="D113" s="844">
        <f t="shared" si="11"/>
        <v>0.9</v>
      </c>
      <c r="E113" s="845">
        <f>+VLOOKUP(D113,Tra!$C$19:$J$115,5,0)</f>
        <v>0.78549999999999998</v>
      </c>
      <c r="F113" s="846">
        <f t="shared" si="15"/>
        <v>550</v>
      </c>
      <c r="G113" s="845">
        <f t="shared" si="12"/>
        <v>1.1414590014492756</v>
      </c>
      <c r="H113" s="845">
        <f t="shared" si="8"/>
        <v>4.708333333333333</v>
      </c>
      <c r="I113" s="845">
        <f t="shared" si="13"/>
        <v>0.40331859631093558</v>
      </c>
      <c r="J113" s="847" t="str">
        <f t="shared" si="16"/>
        <v>CONT</v>
      </c>
      <c r="M113" s="841">
        <f t="shared" si="9"/>
        <v>4.1248378849834344</v>
      </c>
      <c r="N113" s="5" t="str">
        <f t="shared" si="14"/>
        <v>X</v>
      </c>
      <c r="O113" s="3">
        <v>1</v>
      </c>
    </row>
    <row r="114" spans="2:24" ht="19.899999999999999" customHeight="1">
      <c r="B114" s="842">
        <f t="shared" si="10"/>
        <v>11</v>
      </c>
      <c r="C114" s="843">
        <f t="shared" si="7"/>
        <v>2.5</v>
      </c>
      <c r="D114" s="844">
        <f t="shared" si="11"/>
        <v>1</v>
      </c>
      <c r="E114" s="845">
        <f>+VLOOKUP(D114,Tra!$C$19:$J$115,5,0)</f>
        <v>0.74099999999999999</v>
      </c>
      <c r="F114" s="846">
        <f t="shared" si="15"/>
        <v>550</v>
      </c>
      <c r="G114" s="845">
        <f t="shared" si="12"/>
        <v>1.0767932782608698</v>
      </c>
      <c r="H114" s="845">
        <f t="shared" si="8"/>
        <v>4.9537037037037033</v>
      </c>
      <c r="I114" s="845">
        <f t="shared" si="13"/>
        <v>0.37980378787878799</v>
      </c>
      <c r="J114" s="847" t="str">
        <f t="shared" si="16"/>
        <v>CONT</v>
      </c>
      <c r="M114" s="841">
        <f t="shared" si="9"/>
        <v>4.6004222014688247</v>
      </c>
      <c r="N114" s="5" t="str">
        <f>+IF(H114/G114&lt;=$I$126,"X","")</f>
        <v>X</v>
      </c>
      <c r="O114" s="3">
        <v>1</v>
      </c>
    </row>
    <row r="115" spans="2:24" ht="19.899999999999999" customHeight="1">
      <c r="B115" s="842">
        <f t="shared" si="10"/>
        <v>12</v>
      </c>
      <c r="C115" s="843">
        <f t="shared" si="7"/>
        <v>2.75</v>
      </c>
      <c r="D115" s="844">
        <f t="shared" si="11"/>
        <v>1.1000000000000001</v>
      </c>
      <c r="E115" s="845">
        <f>+VLOOKUP(D115,Tra!$C$19:$J$115,5,0)</f>
        <v>0.69650000000000001</v>
      </c>
      <c r="F115" s="846">
        <f t="shared" si="15"/>
        <v>550</v>
      </c>
      <c r="G115" s="845">
        <f t="shared" si="12"/>
        <v>1.012127555072464</v>
      </c>
      <c r="H115" s="845">
        <f t="shared" si="8"/>
        <v>5.1990740740740735</v>
      </c>
      <c r="I115" s="845">
        <f t="shared" si="13"/>
        <v>0.3562889794466404</v>
      </c>
      <c r="J115" s="847" t="str">
        <f t="shared" si="16"/>
        <v>STOP</v>
      </c>
      <c r="M115" s="841">
        <f t="shared" si="9"/>
        <v>5.1367775217836469</v>
      </c>
      <c r="N115" s="5" t="str">
        <f>+IF(H115/G115&lt;=$I$126,"X","")</f>
        <v/>
      </c>
      <c r="O115" s="3">
        <v>1</v>
      </c>
    </row>
    <row r="116" spans="2:24" ht="19.899999999999999" customHeight="1">
      <c r="B116" s="842">
        <f t="shared" si="10"/>
        <v>13</v>
      </c>
      <c r="C116" s="843">
        <f t="shared" si="7"/>
        <v>3</v>
      </c>
      <c r="D116" s="844">
        <f t="shared" si="11"/>
        <v>1.2</v>
      </c>
      <c r="E116" s="845">
        <f>+VLOOKUP(D116,Tra!$C$19:$J$115,5,0)</f>
        <v>0.65200000000000002</v>
      </c>
      <c r="F116" s="846">
        <f t="shared" si="15"/>
        <v>550</v>
      </c>
      <c r="G116" s="845">
        <f t="shared" si="12"/>
        <v>0.94746183188405819</v>
      </c>
      <c r="H116" s="845">
        <f t="shared" si="8"/>
        <v>5.4444444444444438</v>
      </c>
      <c r="I116" s="845">
        <f t="shared" si="13"/>
        <v>0.33422733333333343</v>
      </c>
      <c r="J116" s="847" t="str">
        <f t="shared" si="16"/>
        <v>STOP</v>
      </c>
      <c r="M116" s="841">
        <f t="shared" si="9"/>
        <v>5.746346988583162</v>
      </c>
      <c r="N116" s="5" t="str">
        <f t="shared" si="14"/>
        <v/>
      </c>
      <c r="O116" s="3">
        <v>1</v>
      </c>
    </row>
    <row r="117" spans="2:24" ht="19.899999999999999" customHeight="1">
      <c r="B117" s="842">
        <f t="shared" si="10"/>
        <v>14</v>
      </c>
      <c r="C117" s="843">
        <f t="shared" si="7"/>
        <v>3.25</v>
      </c>
      <c r="D117" s="844">
        <f t="shared" si="11"/>
        <v>1.3</v>
      </c>
      <c r="E117" s="845">
        <f>+VLOOKUP(D117,Tra!$C$19:$J$115,5,0)</f>
        <v>0.61299999999999999</v>
      </c>
      <c r="F117" s="846">
        <f t="shared" si="15"/>
        <v>550</v>
      </c>
      <c r="G117" s="845">
        <f t="shared" si="12"/>
        <v>0.89078850144927557</v>
      </c>
      <c r="H117" s="845">
        <f t="shared" si="8"/>
        <v>5.689814814814814</v>
      </c>
      <c r="I117" s="845">
        <f t="shared" si="13"/>
        <v>0.31361884953886704</v>
      </c>
      <c r="J117" s="847" t="str">
        <f t="shared" si="16"/>
        <v>STOP</v>
      </c>
      <c r="M117" s="841">
        <f t="shared" si="9"/>
        <v>6.3873914016152247</v>
      </c>
      <c r="N117" s="5" t="str">
        <f t="shared" si="14"/>
        <v/>
      </c>
      <c r="O117" s="3">
        <v>1</v>
      </c>
    </row>
    <row r="118" spans="2:24" ht="19.899999999999999" customHeight="1">
      <c r="B118" s="842">
        <f t="shared" si="10"/>
        <v>15</v>
      </c>
      <c r="C118" s="843">
        <f t="shared" si="7"/>
        <v>3.5</v>
      </c>
      <c r="D118" s="844">
        <f t="shared" si="11"/>
        <v>1.4</v>
      </c>
      <c r="E118" s="845">
        <f>+VLOOKUP(D118,Tra!$C$19:$J$115,5,0)</f>
        <v>0.57400000000000007</v>
      </c>
      <c r="F118" s="846">
        <f t="shared" si="15"/>
        <v>550</v>
      </c>
      <c r="G118" s="843">
        <f t="shared" si="12"/>
        <v>0.83411517101449306</v>
      </c>
      <c r="H118" s="843">
        <f t="shared" si="8"/>
        <v>5.9351851851851851</v>
      </c>
      <c r="I118" s="849">
        <f>0.8*$C$105*(G118+I119)/2/F118*1000</f>
        <v>0.29301036574440065</v>
      </c>
      <c r="J118" s="850" t="str">
        <f>IF(H118/G118&gt;$I$126,"STOP","CONT")</f>
        <v>STOP</v>
      </c>
      <c r="M118" s="841">
        <f t="shared" si="9"/>
        <v>7.1155463794843978</v>
      </c>
      <c r="N118" s="5" t="str">
        <f t="shared" si="14"/>
        <v/>
      </c>
      <c r="O118" s="3">
        <v>1</v>
      </c>
    </row>
    <row r="119" spans="2:24" ht="19.899999999999999" hidden="1" customHeight="1">
      <c r="B119" s="851">
        <f t="shared" si="10"/>
        <v>16</v>
      </c>
      <c r="C119" s="852">
        <f t="shared" si="7"/>
        <v>3.75</v>
      </c>
      <c r="D119" s="853">
        <f t="shared" si="11"/>
        <v>1.5</v>
      </c>
      <c r="E119" s="854">
        <f>+VLOOKUP(D119,Tra!$C$19:$J$115,5,0)</f>
        <v>0.53500000000000003</v>
      </c>
      <c r="F119" s="846">
        <f t="shared" si="15"/>
        <v>550</v>
      </c>
      <c r="G119" s="852">
        <f t="shared" si="12"/>
        <v>0.77744184057971033</v>
      </c>
      <c r="H119" s="852">
        <f t="shared" si="8"/>
        <v>6.1805555555555554</v>
      </c>
      <c r="I119" s="855">
        <f t="shared" ref="I119:I125" si="17">$H$101*E119</f>
        <v>0.77744184057971033</v>
      </c>
      <c r="J119" s="855">
        <f t="shared" ref="J119:J125" si="18">$K$14*$K$54+$K$56*C119</f>
        <v>6.1805555555555554</v>
      </c>
      <c r="K119" s="856">
        <f t="shared" ref="K119:K124" si="19">0.8*$C$105*(I119+I120)/2/F119*1000</f>
        <v>0.27240188194993414</v>
      </c>
      <c r="L119" s="857"/>
      <c r="M119" s="841">
        <f t="shared" ref="M119:M125" si="20">+J119/I119</f>
        <v>7.9498622700148713</v>
      </c>
      <c r="N119" s="5" t="str">
        <f t="shared" ref="N119:N125" si="21">+IF(J119/I119&lt;=$I$126,"X","")</f>
        <v/>
      </c>
      <c r="O119" s="3">
        <v>1</v>
      </c>
      <c r="X119" s="3">
        <f>IF(C119&lt;D67,K67,K68)</f>
        <v>0</v>
      </c>
    </row>
    <row r="120" spans="2:24" ht="19.899999999999999" hidden="1" customHeight="1">
      <c r="B120" s="851">
        <f t="shared" si="10"/>
        <v>17</v>
      </c>
      <c r="C120" s="852">
        <f t="shared" si="7"/>
        <v>4</v>
      </c>
      <c r="D120" s="853">
        <f t="shared" si="11"/>
        <v>1.6</v>
      </c>
      <c r="E120" s="854">
        <f>+VLOOKUP(D120,Tra!$C$19:$J$115,5,0)</f>
        <v>0.496</v>
      </c>
      <c r="F120" s="846">
        <f t="shared" si="15"/>
        <v>550</v>
      </c>
      <c r="G120" s="852">
        <f t="shared" si="12"/>
        <v>0.72076851014492771</v>
      </c>
      <c r="H120" s="852">
        <f t="shared" si="8"/>
        <v>6.4259259259259256</v>
      </c>
      <c r="I120" s="854">
        <f t="shared" si="17"/>
        <v>0.72076851014492771</v>
      </c>
      <c r="J120" s="854">
        <f t="shared" si="18"/>
        <v>6.4259259259259256</v>
      </c>
      <c r="K120" s="856">
        <f t="shared" si="19"/>
        <v>0.25436945862977611</v>
      </c>
      <c r="L120" s="857"/>
      <c r="M120" s="841">
        <f t="shared" si="20"/>
        <v>8.915381062685217</v>
      </c>
      <c r="N120" s="5" t="str">
        <f t="shared" si="21"/>
        <v/>
      </c>
      <c r="O120" s="3">
        <v>1</v>
      </c>
      <c r="X120" s="3" t="e">
        <f>IF(C120&lt;D68,K68,#REF!)</f>
        <v>#REF!</v>
      </c>
    </row>
    <row r="121" spans="2:24" ht="19.899999999999999" hidden="1" customHeight="1">
      <c r="B121" s="851">
        <f t="shared" si="10"/>
        <v>18</v>
      </c>
      <c r="C121" s="852">
        <f t="shared" si="7"/>
        <v>4.25</v>
      </c>
      <c r="D121" s="853">
        <f t="shared" si="11"/>
        <v>1.7</v>
      </c>
      <c r="E121" s="854">
        <f>+VLOOKUP(D121,Tra!$C$19:$J$115,5,0)</f>
        <v>0.46675</v>
      </c>
      <c r="F121" s="846">
        <f t="shared" si="15"/>
        <v>550</v>
      </c>
      <c r="G121" s="852">
        <f t="shared" si="12"/>
        <v>0.67826351231884074</v>
      </c>
      <c r="H121" s="852">
        <f t="shared" si="8"/>
        <v>6.6712962962962958</v>
      </c>
      <c r="I121" s="854">
        <f t="shared" si="17"/>
        <v>0.67826351231884074</v>
      </c>
      <c r="J121" s="854">
        <f t="shared" si="18"/>
        <v>6.6712962962962958</v>
      </c>
      <c r="K121" s="856">
        <f t="shared" si="19"/>
        <v>0.23891309578392628</v>
      </c>
      <c r="L121" s="857"/>
      <c r="M121" s="841">
        <f t="shared" si="20"/>
        <v>9.8358472409764932</v>
      </c>
      <c r="N121" s="5" t="str">
        <f t="shared" si="21"/>
        <v/>
      </c>
      <c r="O121" s="3">
        <v>1</v>
      </c>
      <c r="X121" s="3" t="e">
        <f>IF(C121&lt;#REF!,#REF!,#REF!)</f>
        <v>#REF!</v>
      </c>
    </row>
    <row r="122" spans="2:24" ht="19.899999999999999" hidden="1" customHeight="1">
      <c r="B122" s="851">
        <f t="shared" si="10"/>
        <v>19</v>
      </c>
      <c r="C122" s="852">
        <f t="shared" si="7"/>
        <v>4.5</v>
      </c>
      <c r="D122" s="853">
        <f t="shared" si="11"/>
        <v>1.8</v>
      </c>
      <c r="E122" s="854">
        <f>+VLOOKUP(D122,Tra!$C$19:$J$115,5,0)</f>
        <v>0.4375</v>
      </c>
      <c r="F122" s="846">
        <f t="shared" si="15"/>
        <v>550</v>
      </c>
      <c r="G122" s="852">
        <f t="shared" si="12"/>
        <v>0.63575851449275378</v>
      </c>
      <c r="H122" s="852">
        <f t="shared" si="8"/>
        <v>6.9166666666666661</v>
      </c>
      <c r="I122" s="854">
        <f t="shared" si="17"/>
        <v>0.63575851449275378</v>
      </c>
      <c r="J122" s="854">
        <f t="shared" si="18"/>
        <v>6.9166666666666661</v>
      </c>
      <c r="K122" s="856">
        <f t="shared" si="19"/>
        <v>0.22345673293807647</v>
      </c>
      <c r="L122" s="857"/>
      <c r="M122" s="841">
        <f t="shared" si="20"/>
        <v>10.879392896822148</v>
      </c>
      <c r="N122" s="5" t="str">
        <f t="shared" si="21"/>
        <v/>
      </c>
      <c r="O122" s="3">
        <v>1</v>
      </c>
      <c r="X122" s="3" t="e">
        <f>IF(C122&lt;#REF!,#REF!,K69)</f>
        <v>#REF!</v>
      </c>
    </row>
    <row r="123" spans="2:24" ht="19.899999999999999" hidden="1" customHeight="1">
      <c r="B123" s="851">
        <f t="shared" si="10"/>
        <v>20</v>
      </c>
      <c r="C123" s="852">
        <f t="shared" si="7"/>
        <v>4.75</v>
      </c>
      <c r="D123" s="853">
        <f t="shared" si="11"/>
        <v>1.9</v>
      </c>
      <c r="E123" s="854">
        <f>+VLOOKUP(D123,Tra!$C$19:$J$115,5,0)</f>
        <v>0.40825</v>
      </c>
      <c r="F123" s="846">
        <f t="shared" si="15"/>
        <v>550</v>
      </c>
      <c r="G123" s="852">
        <f t="shared" si="12"/>
        <v>0.59325351666666681</v>
      </c>
      <c r="H123" s="852">
        <f t="shared" si="8"/>
        <v>7.1620370370370363</v>
      </c>
      <c r="I123" s="854">
        <f t="shared" si="17"/>
        <v>0.59325351666666681</v>
      </c>
      <c r="J123" s="854">
        <f t="shared" si="18"/>
        <v>7.1620370370370363</v>
      </c>
      <c r="K123" s="856">
        <f t="shared" si="19"/>
        <v>0.20800037009222666</v>
      </c>
      <c r="L123" s="857"/>
      <c r="M123" s="841">
        <f t="shared" si="20"/>
        <v>12.072472957730804</v>
      </c>
      <c r="N123" s="5" t="str">
        <f t="shared" si="21"/>
        <v/>
      </c>
      <c r="O123" s="3">
        <v>1</v>
      </c>
      <c r="X123" s="3">
        <f>IF(C123&lt;D69,K69,K70)</f>
        <v>0</v>
      </c>
    </row>
    <row r="124" spans="2:24" ht="19.899999999999999" hidden="1" customHeight="1">
      <c r="B124" s="851">
        <f t="shared" si="10"/>
        <v>21</v>
      </c>
      <c r="C124" s="852">
        <f t="shared" si="7"/>
        <v>5</v>
      </c>
      <c r="D124" s="853">
        <f t="shared" si="11"/>
        <v>2</v>
      </c>
      <c r="E124" s="854">
        <f>+VLOOKUP(D124,Tra!$C$19:$J$115,5,0)</f>
        <v>0.379</v>
      </c>
      <c r="F124" s="846">
        <f t="shared" si="15"/>
        <v>550</v>
      </c>
      <c r="G124" s="852">
        <f t="shared" si="12"/>
        <v>0.55074851884057985</v>
      </c>
      <c r="H124" s="852">
        <f t="shared" si="8"/>
        <v>7.4074074074074066</v>
      </c>
      <c r="I124" s="854">
        <f t="shared" si="17"/>
        <v>0.55074851884057985</v>
      </c>
      <c r="J124" s="854">
        <f t="shared" si="18"/>
        <v>7.4074074074074066</v>
      </c>
      <c r="K124" s="856">
        <f t="shared" si="19"/>
        <v>0.19465769789196316</v>
      </c>
      <c r="L124" s="857"/>
      <c r="M124" s="841">
        <f t="shared" si="20"/>
        <v>13.449709175798185</v>
      </c>
      <c r="N124" s="5" t="str">
        <f t="shared" si="21"/>
        <v/>
      </c>
      <c r="O124" s="3">
        <v>1</v>
      </c>
      <c r="X124" s="3">
        <f>IF(C124&lt;D70,K70,K71)</f>
        <v>0</v>
      </c>
    </row>
    <row r="125" spans="2:24" ht="19.899999999999999" hidden="1" customHeight="1">
      <c r="B125" s="858">
        <f t="shared" si="10"/>
        <v>22</v>
      </c>
      <c r="C125" s="859">
        <f t="shared" si="7"/>
        <v>5.25</v>
      </c>
      <c r="D125" s="860">
        <f t="shared" si="11"/>
        <v>2.1</v>
      </c>
      <c r="E125" s="861">
        <f>+VLOOKUP(D125,Tra!$C$19:$J$115,5,0)</f>
        <v>0.35775000000000001</v>
      </c>
      <c r="F125" s="846">
        <f t="shared" si="15"/>
        <v>550</v>
      </c>
      <c r="G125" s="852">
        <f t="shared" si="12"/>
        <v>0.51986881956521747</v>
      </c>
      <c r="H125" s="852">
        <f t="shared" si="8"/>
        <v>7.6527777777777768</v>
      </c>
      <c r="I125" s="861">
        <f t="shared" si="17"/>
        <v>0.51986881956521747</v>
      </c>
      <c r="J125" s="861">
        <f t="shared" si="18"/>
        <v>7.6527777777777768</v>
      </c>
      <c r="K125" s="862" t="e">
        <f>0.8*$C$105*(I125+#REF!)/2/F125*1000</f>
        <v>#REF!</v>
      </c>
      <c r="L125" s="857"/>
      <c r="M125" s="841">
        <f t="shared" si="20"/>
        <v>14.720593907089935</v>
      </c>
      <c r="N125" s="5" t="str">
        <f t="shared" si="21"/>
        <v/>
      </c>
      <c r="O125" s="3">
        <v>1</v>
      </c>
      <c r="X125" s="3">
        <f>IF(C125&lt;D71,K71,K72)</f>
        <v>0</v>
      </c>
    </row>
    <row r="126" spans="2:24" ht="19.899999999999999" customHeight="1">
      <c r="B126" s="863" t="s">
        <v>605</v>
      </c>
      <c r="C126" s="863"/>
      <c r="D126" s="863"/>
      <c r="E126" s="863"/>
      <c r="F126" s="863"/>
      <c r="G126" s="1584" t="s">
        <v>845</v>
      </c>
      <c r="H126" s="1584"/>
      <c r="I126" s="326">
        <v>5</v>
      </c>
      <c r="J126" s="771"/>
      <c r="M126" s="841"/>
    </row>
    <row r="127" spans="2:24" ht="19.899999999999999" hidden="1" customHeight="1">
      <c r="B127" s="864" t="s">
        <v>606</v>
      </c>
      <c r="C127" s="326"/>
      <c r="D127" s="829" t="s">
        <v>483</v>
      </c>
      <c r="E127" s="328">
        <f>+SUMIF(N104:N125,"X",$K$104:$K$125)</f>
        <v>0</v>
      </c>
      <c r="F127" s="779" t="s">
        <v>29</v>
      </c>
      <c r="G127" s="771" t="s">
        <v>533</v>
      </c>
      <c r="H127" s="326">
        <v>20</v>
      </c>
      <c r="I127" s="771" t="s">
        <v>53</v>
      </c>
      <c r="J127" s="771" t="str">
        <f>"="&amp;200</f>
        <v>=200</v>
      </c>
      <c r="K127" s="3" t="s">
        <v>499</v>
      </c>
      <c r="L127" s="2" t="str">
        <f>IF(H127*10&gt;E127,"=&gt; Thỏa mãn ","NO")</f>
        <v xml:space="preserve">=&gt; Thỏa mãn </v>
      </c>
      <c r="M127" s="841"/>
    </row>
    <row r="128" spans="2:24" ht="19.899999999999999" hidden="1" customHeight="1">
      <c r="B128" s="779" t="s">
        <v>607</v>
      </c>
      <c r="C128" s="327"/>
      <c r="D128" s="779"/>
      <c r="E128" s="864"/>
      <c r="F128" s="864"/>
      <c r="G128" s="326"/>
      <c r="H128" s="326"/>
      <c r="I128" s="829"/>
      <c r="J128" s="829"/>
      <c r="K128" s="11"/>
      <c r="M128" s="841"/>
    </row>
    <row r="129" spans="1:26" ht="19.899999999999999" hidden="1" customHeight="1">
      <c r="A129" s="865"/>
      <c r="B129" s="771"/>
      <c r="C129" s="327"/>
      <c r="D129" s="779"/>
      <c r="E129" s="864"/>
      <c r="F129" s="864"/>
      <c r="G129" s="326"/>
      <c r="H129" s="326"/>
      <c r="I129" s="829"/>
      <c r="J129" s="829"/>
      <c r="K129" s="11"/>
      <c r="M129" s="841"/>
    </row>
    <row r="130" spans="1:26" ht="19.899999999999999" hidden="1" customHeight="1">
      <c r="A130" s="865"/>
      <c r="B130" s="771"/>
      <c r="C130" s="327"/>
      <c r="D130" s="866"/>
      <c r="E130" s="864"/>
      <c r="F130" s="864"/>
      <c r="G130" s="326"/>
      <c r="H130" s="326"/>
      <c r="I130" s="829"/>
      <c r="J130" s="829"/>
      <c r="K130" s="11"/>
      <c r="M130" s="841"/>
    </row>
    <row r="131" spans="1:26" ht="19.899999999999999" customHeight="1">
      <c r="B131" s="771" t="s">
        <v>862</v>
      </c>
      <c r="C131" s="829"/>
      <c r="D131" s="829" t="s">
        <v>484</v>
      </c>
      <c r="E131" s="328">
        <f>SUMIF(J104:J118,"CONT",C104:C118)/(W107/2)</f>
        <v>2.5</v>
      </c>
      <c r="F131" s="779" t="s">
        <v>0</v>
      </c>
      <c r="H131" s="780" t="s">
        <v>606</v>
      </c>
      <c r="I131" s="326" t="s">
        <v>608</v>
      </c>
      <c r="J131" s="328">
        <f>SUMIF(J104:J118,"CONT",I104:I118)</f>
        <v>4.1437584050065883</v>
      </c>
      <c r="K131" s="779" t="s">
        <v>29</v>
      </c>
      <c r="M131" s="841"/>
      <c r="V131" s="3" t="str">
        <f>IF(J131&lt;80,"OK","NOT")</f>
        <v>OK</v>
      </c>
    </row>
    <row r="132" spans="1:26" ht="19.899999999999999" hidden="1" customHeight="1">
      <c r="B132" s="326"/>
      <c r="C132" s="327"/>
      <c r="D132" s="328"/>
      <c r="E132" s="829"/>
      <c r="F132" s="771"/>
      <c r="G132" s="771"/>
      <c r="H132" s="771"/>
      <c r="I132" s="771"/>
      <c r="J132" s="771"/>
    </row>
    <row r="133" spans="1:26" ht="19.899999999999999" hidden="1" customHeight="1">
      <c r="A133" s="1" t="s">
        <v>210</v>
      </c>
      <c r="B133" s="771"/>
      <c r="C133" s="771"/>
      <c r="D133" s="867">
        <f>C113</f>
        <v>2.25</v>
      </c>
      <c r="E133" s="828" t="s">
        <v>846</v>
      </c>
      <c r="F133" s="868">
        <f>G113</f>
        <v>1.1414590014492756</v>
      </c>
      <c r="G133" s="869"/>
      <c r="H133" s="779" t="s">
        <v>847</v>
      </c>
      <c r="I133" s="771"/>
      <c r="J133" s="868">
        <f>0.1*H113</f>
        <v>0.47083333333333333</v>
      </c>
      <c r="K133" s="3" t="s">
        <v>10</v>
      </c>
    </row>
    <row r="134" spans="1:26" ht="19.899999999999999" hidden="1" customHeight="1">
      <c r="A134" s="1" t="s">
        <v>211</v>
      </c>
      <c r="B134" s="771"/>
      <c r="C134" s="771"/>
      <c r="D134" s="771"/>
      <c r="E134" s="789">
        <f>+D133</f>
        <v>2.25</v>
      </c>
      <c r="F134" s="771" t="s">
        <v>0</v>
      </c>
      <c r="G134" s="771"/>
      <c r="H134" s="771"/>
      <c r="I134" s="771"/>
      <c r="J134" s="771"/>
    </row>
    <row r="135" spans="1:26" ht="19.899999999999999" customHeight="1">
      <c r="B135" s="1170" t="s">
        <v>212</v>
      </c>
      <c r="C135" s="1170"/>
      <c r="D135" s="1170"/>
      <c r="E135" s="1170"/>
      <c r="F135" s="1170"/>
      <c r="G135" s="1170"/>
      <c r="H135" s="1170"/>
      <c r="I135" s="1171" t="s">
        <v>874</v>
      </c>
      <c r="J135" s="328">
        <f>Y52-K47</f>
        <v>13.864174980031722</v>
      </c>
      <c r="K135" s="779" t="s">
        <v>30</v>
      </c>
      <c r="O135" s="870"/>
    </row>
    <row r="136" spans="1:26" ht="19.899999999999999" hidden="1" customHeight="1">
      <c r="A136" s="871"/>
      <c r="B136" s="771"/>
      <c r="C136" s="771"/>
      <c r="D136" s="771"/>
      <c r="E136" s="771"/>
      <c r="F136" s="771"/>
      <c r="G136" s="771"/>
      <c r="H136" s="771"/>
      <c r="I136" s="771"/>
      <c r="J136" s="782"/>
      <c r="O136" s="870"/>
    </row>
    <row r="137" spans="1:26" ht="19.899999999999999" customHeight="1">
      <c r="B137" s="1585" t="s">
        <v>848</v>
      </c>
      <c r="C137" s="1585"/>
      <c r="D137" s="1585"/>
      <c r="E137" s="1586" t="s">
        <v>849</v>
      </c>
      <c r="F137" s="756" t="s">
        <v>423</v>
      </c>
      <c r="G137" s="1586" t="s">
        <v>6</v>
      </c>
      <c r="H137" s="1587">
        <f>+SUMIF(C104:C125,"&lt;="&amp;E131,F104:F125)*$C$105/E131</f>
        <v>770</v>
      </c>
      <c r="I137" s="1586" t="s">
        <v>10</v>
      </c>
      <c r="J137" s="771"/>
    </row>
    <row r="138" spans="1:26" ht="19.899999999999999" customHeight="1">
      <c r="B138" s="1585"/>
      <c r="C138" s="1585"/>
      <c r="D138" s="1585"/>
      <c r="E138" s="1586"/>
      <c r="F138" s="872" t="s">
        <v>424</v>
      </c>
      <c r="G138" s="1586"/>
      <c r="H138" s="1587"/>
      <c r="I138" s="1586"/>
      <c r="J138" s="771"/>
    </row>
    <row r="139" spans="1:26" ht="19.899999999999999" customHeight="1">
      <c r="A139" s="827"/>
      <c r="B139" s="1585" t="s">
        <v>478</v>
      </c>
      <c r="C139" s="1585"/>
      <c r="D139" s="1586" t="s">
        <v>850</v>
      </c>
      <c r="E139" s="873" t="s">
        <v>851</v>
      </c>
      <c r="F139" s="1586" t="s">
        <v>6</v>
      </c>
      <c r="G139" s="1582">
        <f>0.5*J135*(1-0.42^2)/(H137*(K10/2)^3)</f>
        <v>4.745364992645871E-4</v>
      </c>
      <c r="H139" s="1588" t="str">
        <f>IF(I139&gt;G139, "&lt; [tg] ="," &gt; [tg] =")</f>
        <v>&lt; [tg] =</v>
      </c>
      <c r="I139" s="1582">
        <f>IF(LEFT(C3,1)= "N",0.0025,0.003)</f>
        <v>3.0000000000000001E-3</v>
      </c>
      <c r="J139" s="771"/>
      <c r="K139" s="6"/>
      <c r="L139" s="6"/>
      <c r="V139" s="3" t="str">
        <f>IF(G139&lt;I139,"OK","NOT")</f>
        <v>OK</v>
      </c>
    </row>
    <row r="140" spans="1:26" ht="19.899999999999999" customHeight="1">
      <c r="B140" s="1585"/>
      <c r="C140" s="1585"/>
      <c r="D140" s="1586"/>
      <c r="E140" s="874" t="s">
        <v>852</v>
      </c>
      <c r="F140" s="1586"/>
      <c r="G140" s="1582"/>
      <c r="H140" s="1588"/>
      <c r="I140" s="1582"/>
      <c r="J140" s="771"/>
      <c r="K140" s="6"/>
      <c r="L140" s="6"/>
    </row>
    <row r="141" spans="1:26" ht="19.899999999999999" customHeight="1">
      <c r="A141" s="377" t="s">
        <v>920</v>
      </c>
      <c r="B141" s="771"/>
      <c r="C141" s="771"/>
      <c r="D141" s="771"/>
      <c r="E141" s="771"/>
      <c r="F141" s="771"/>
      <c r="G141" s="771"/>
      <c r="H141" s="771"/>
      <c r="I141" s="771"/>
      <c r="J141" s="771"/>
      <c r="K141" s="326"/>
      <c r="L141" s="779"/>
      <c r="W141" s="1569" t="s">
        <v>736</v>
      </c>
      <c r="X141" s="1569"/>
      <c r="Y141" s="1569"/>
      <c r="Z141" s="1569"/>
    </row>
    <row r="142" spans="1:26" ht="19.899999999999999" customHeight="1">
      <c r="A142" s="800" t="s">
        <v>921</v>
      </c>
      <c r="B142" s="771"/>
      <c r="C142" s="771"/>
      <c r="D142" s="771"/>
      <c r="E142" s="771"/>
      <c r="F142" s="771"/>
      <c r="G142" s="771"/>
      <c r="H142" s="771"/>
      <c r="I142" s="771"/>
      <c r="J142" s="771"/>
      <c r="K142" s="326"/>
      <c r="L142" s="779"/>
      <c r="W142" s="12"/>
      <c r="X142" s="12" t="s">
        <v>139</v>
      </c>
      <c r="Y142" s="12" t="s">
        <v>140</v>
      </c>
      <c r="Z142" s="12" t="s">
        <v>654</v>
      </c>
    </row>
    <row r="143" spans="1:26" ht="22.15" customHeight="1">
      <c r="A143" s="771"/>
      <c r="B143" s="830" t="s">
        <v>609</v>
      </c>
      <c r="C143" s="771"/>
      <c r="D143" s="771"/>
      <c r="E143" s="771"/>
      <c r="F143" s="771"/>
      <c r="G143" s="771"/>
      <c r="H143" s="702">
        <f>(TAN(RADIANS(45-$H$56/2)))^2</f>
        <v>0.54754239255731507</v>
      </c>
      <c r="I143" s="771"/>
      <c r="J143" s="771"/>
      <c r="K143" s="326"/>
      <c r="L143" s="779"/>
      <c r="W143" s="12" t="s">
        <v>655</v>
      </c>
      <c r="X143" s="875">
        <f>C40</f>
        <v>2.2038260869565223</v>
      </c>
      <c r="Y143" s="140">
        <f>F40</f>
        <v>1.5621739130434784</v>
      </c>
      <c r="Z143" s="12">
        <f>SQRT(X143^2+Y143^2)</f>
        <v>2.7013398076035657</v>
      </c>
    </row>
    <row r="144" spans="1:26" ht="22.15" customHeight="1">
      <c r="A144" s="771"/>
      <c r="B144" s="830" t="s">
        <v>610</v>
      </c>
      <c r="C144" s="771"/>
      <c r="D144" s="771"/>
      <c r="E144" s="771"/>
      <c r="F144" s="828" t="s">
        <v>853</v>
      </c>
      <c r="G144" s="326">
        <f>U144</f>
        <v>-16.850000000000001</v>
      </c>
      <c r="H144" s="771" t="s">
        <v>532</v>
      </c>
      <c r="I144" s="771"/>
      <c r="J144" s="326">
        <f>G144*K10</f>
        <v>-84.25</v>
      </c>
      <c r="K144" s="779" t="s">
        <v>524</v>
      </c>
      <c r="L144" s="779"/>
      <c r="N144" s="3">
        <f>TAN(RADIANS(45-H56/2))</f>
        <v>0.73996107502848762</v>
      </c>
      <c r="U144" s="3">
        <f>ROUND(0.5*$E$56*$K$14^2*H143-2*$I$56*$K$14*SQRT(H143),2)</f>
        <v>-16.850000000000001</v>
      </c>
      <c r="W144" s="12" t="s">
        <v>656</v>
      </c>
      <c r="X144" s="875">
        <f>C43</f>
        <v>2.1516521739130434</v>
      </c>
      <c r="Y144" s="875">
        <f>F43</f>
        <v>2.5534782608695656</v>
      </c>
      <c r="Z144" s="12">
        <f t="shared" ref="Z144:Z146" si="22">SQRT(X144^2+Y144^2)</f>
        <v>3.3391403543783822</v>
      </c>
    </row>
    <row r="145" spans="1:26" ht="22.15" customHeight="1">
      <c r="A145" s="771"/>
      <c r="B145" s="876" t="s">
        <v>611</v>
      </c>
      <c r="C145" s="771"/>
      <c r="D145" s="771"/>
      <c r="E145" s="771"/>
      <c r="F145" s="771"/>
      <c r="G145" s="828"/>
      <c r="H145" s="702">
        <f>(TAN(RADIANS(45+$H$56/2)))^2</f>
        <v>1.8263426057833918</v>
      </c>
      <c r="I145" s="771"/>
      <c r="J145" s="771"/>
      <c r="K145" s="326"/>
      <c r="L145" s="779"/>
      <c r="W145" s="12" t="s">
        <v>498</v>
      </c>
      <c r="X145" s="875">
        <f>C46</f>
        <v>2.1516521739130434</v>
      </c>
      <c r="Y145" s="875">
        <f>F46</f>
        <v>2.5534782608695656</v>
      </c>
      <c r="Z145" s="12">
        <f t="shared" si="22"/>
        <v>3.3391403543783822</v>
      </c>
    </row>
    <row r="146" spans="1:26" ht="22.15" customHeight="1">
      <c r="A146" s="771"/>
      <c r="B146" s="830" t="s">
        <v>612</v>
      </c>
      <c r="C146" s="771"/>
      <c r="D146" s="771"/>
      <c r="E146" s="771"/>
      <c r="F146" s="828" t="s">
        <v>854</v>
      </c>
      <c r="G146" s="326">
        <f>U146</f>
        <v>46.93</v>
      </c>
      <c r="H146" s="771" t="s">
        <v>532</v>
      </c>
      <c r="I146" s="771"/>
      <c r="J146" s="326">
        <f>G146*K10</f>
        <v>234.65</v>
      </c>
      <c r="K146" s="779" t="s">
        <v>524</v>
      </c>
      <c r="L146" s="779"/>
      <c r="U146" s="3">
        <f>ROUND(0.5*$E$56*$K$14^2*H145+2*$I$56*$K$14*SQRT(H145),2)</f>
        <v>46.93</v>
      </c>
      <c r="W146" s="12" t="s">
        <v>657</v>
      </c>
      <c r="X146" s="875">
        <f>C49</f>
        <v>1</v>
      </c>
      <c r="Y146" s="875">
        <f>F49</f>
        <v>0</v>
      </c>
      <c r="Z146" s="12">
        <f t="shared" si="22"/>
        <v>1</v>
      </c>
    </row>
    <row r="147" spans="1:26" ht="22.15" customHeight="1">
      <c r="A147" s="771"/>
      <c r="B147" s="830" t="s">
        <v>613</v>
      </c>
      <c r="C147" s="771"/>
      <c r="D147" s="771" t="s">
        <v>855</v>
      </c>
      <c r="E147" s="1172">
        <f>J144+MAX(Z143:Z146)</f>
        <v>-80.910859645621613</v>
      </c>
      <c r="F147" s="771" t="s">
        <v>524</v>
      </c>
      <c r="G147" s="771"/>
      <c r="H147" s="771"/>
      <c r="I147" s="771"/>
      <c r="J147" s="771"/>
      <c r="K147" s="326"/>
      <c r="L147" s="779"/>
    </row>
    <row r="148" spans="1:26" ht="22.15" customHeight="1">
      <c r="A148" s="771"/>
      <c r="B148" s="771" t="s">
        <v>614</v>
      </c>
      <c r="C148" s="771"/>
      <c r="D148" s="771"/>
      <c r="E148" s="780">
        <f>ROUND(SUM(K30*2.5+MAX(E34:E37))*0.45*0.9+J146,2)</f>
        <v>262.91000000000003</v>
      </c>
      <c r="F148" s="771" t="s">
        <v>524</v>
      </c>
      <c r="H148" s="780" t="s">
        <v>858</v>
      </c>
      <c r="I148" s="326">
        <f>ABS(ROUND(E148/E147,2))</f>
        <v>3.25</v>
      </c>
      <c r="J148" s="326" t="s">
        <v>530</v>
      </c>
      <c r="K148" s="779" t="str">
        <f>IF(I148&gt;1.5,"Thỏa mãn điều kiện","NO")</f>
        <v>Thỏa mãn điều kiện</v>
      </c>
      <c r="L148" s="779"/>
      <c r="V148" s="3" t="str">
        <f>IF(I148&gt;1.5,"OK","NO")</f>
        <v>OK</v>
      </c>
    </row>
    <row r="149" spans="1:26" ht="22.15" customHeight="1">
      <c r="A149" s="771"/>
      <c r="B149" s="877" t="s">
        <v>525</v>
      </c>
      <c r="C149" s="771"/>
      <c r="D149" s="771"/>
      <c r="E149" s="771"/>
      <c r="F149" s="771"/>
      <c r="G149" s="771"/>
      <c r="H149" s="771"/>
      <c r="I149" s="771"/>
      <c r="J149" s="771"/>
      <c r="K149" s="326"/>
      <c r="L149" s="779"/>
      <c r="N149" s="878" t="s">
        <v>526</v>
      </c>
    </row>
    <row r="150" spans="1:26" ht="22.15" customHeight="1">
      <c r="A150" s="771"/>
      <c r="B150" s="877" t="s">
        <v>856</v>
      </c>
      <c r="C150" s="771"/>
      <c r="D150" s="771"/>
      <c r="E150" s="771"/>
      <c r="F150" s="771"/>
      <c r="G150" s="771"/>
      <c r="H150" s="771"/>
      <c r="I150" s="771"/>
      <c r="J150" s="771"/>
      <c r="K150" s="326"/>
      <c r="L150" s="779"/>
      <c r="N150" s="878" t="s">
        <v>527</v>
      </c>
    </row>
    <row r="151" spans="1:26" ht="22.15" customHeight="1">
      <c r="A151" s="771"/>
      <c r="B151" s="877" t="s">
        <v>857</v>
      </c>
      <c r="C151" s="771"/>
      <c r="D151" s="771"/>
      <c r="E151" s="771"/>
      <c r="F151" s="771"/>
      <c r="G151" s="771"/>
      <c r="H151" s="771"/>
      <c r="I151" s="771"/>
      <c r="J151" s="771"/>
      <c r="K151" s="326"/>
      <c r="L151" s="779"/>
      <c r="N151" s="878" t="s">
        <v>528</v>
      </c>
    </row>
    <row r="152" spans="1:26" ht="22.15" customHeight="1">
      <c r="A152" s="771"/>
      <c r="B152" s="877" t="s">
        <v>875</v>
      </c>
      <c r="C152" s="771"/>
      <c r="D152" s="771"/>
      <c r="E152" s="771"/>
      <c r="F152" s="771"/>
      <c r="G152" s="771"/>
      <c r="I152" s="877" t="s">
        <v>615</v>
      </c>
      <c r="J152" s="771"/>
      <c r="K152" s="326"/>
      <c r="L152" s="779"/>
      <c r="N152" s="878" t="s">
        <v>529</v>
      </c>
    </row>
    <row r="153" spans="1:26" ht="22.15" customHeight="1">
      <c r="A153" s="879" t="s">
        <v>922</v>
      </c>
      <c r="B153" s="771"/>
      <c r="C153" s="771"/>
      <c r="D153" s="771"/>
      <c r="E153" s="771"/>
      <c r="F153" s="771"/>
      <c r="G153" s="771"/>
      <c r="H153" s="771"/>
      <c r="I153" s="771"/>
      <c r="J153" s="771"/>
      <c r="K153" s="326"/>
      <c r="L153" s="779"/>
    </row>
    <row r="154" spans="1:26" ht="19.899999999999999" customHeight="1">
      <c r="A154" s="771"/>
      <c r="B154" s="771"/>
      <c r="C154" s="771"/>
      <c r="D154" s="771"/>
      <c r="E154" s="328">
        <f>0.9*(C67*K11/2)/((C40*K18+C41)*1.2)</f>
        <v>5.4469684060301713</v>
      </c>
      <c r="F154" s="771" t="s">
        <v>531</v>
      </c>
      <c r="G154" s="779" t="str">
        <f>IF(E154&gt;1.5,"Thỏa mãn điều kiện","NO")</f>
        <v>Thỏa mãn điều kiện</v>
      </c>
      <c r="H154" s="771"/>
      <c r="I154" s="771"/>
      <c r="J154" s="771"/>
      <c r="K154" s="326"/>
      <c r="L154" s="779"/>
      <c r="V154" s="3" t="str">
        <f>IF(E154&gt;1.5,"OK", "NO")</f>
        <v>OK</v>
      </c>
    </row>
    <row r="155" spans="1:26" ht="19.899999999999999" customHeight="1">
      <c r="A155" s="771"/>
      <c r="B155" s="771"/>
      <c r="C155" s="771"/>
      <c r="D155" s="771"/>
      <c r="E155" s="771"/>
      <c r="F155" s="771"/>
      <c r="G155" s="771"/>
      <c r="H155" s="771"/>
      <c r="I155" s="771"/>
      <c r="J155" s="771"/>
      <c r="K155" s="326"/>
      <c r="L155" s="779"/>
    </row>
    <row r="156" spans="1:26" ht="19.899999999999999" hidden="1" customHeight="1"/>
    <row r="185" spans="1:17" ht="19.899999999999999" customHeight="1">
      <c r="D185" s="1" t="e">
        <f>VLOOKUP(J58,'Bảng tra'!$I$3:$M$6,5,0)*100</f>
        <v>#N/A</v>
      </c>
    </row>
    <row r="187" spans="1:17" ht="19.899999999999999" customHeight="1">
      <c r="A187" s="4" t="s">
        <v>477</v>
      </c>
    </row>
    <row r="188" spans="1:17" ht="19.899999999999999" customHeight="1">
      <c r="A188" s="1" t="s">
        <v>486</v>
      </c>
      <c r="C188" s="5" t="str">
        <f>IF(D188="M200","B15  -  Mác","B20-  Mác")</f>
        <v>B15  -  Mác</v>
      </c>
      <c r="D188" s="880" t="s">
        <v>5</v>
      </c>
      <c r="I188" s="5" t="s">
        <v>489</v>
      </c>
      <c r="J188" s="881" t="s">
        <v>55</v>
      </c>
      <c r="K188" s="3" t="s">
        <v>487</v>
      </c>
      <c r="O188" s="176" t="s">
        <v>266</v>
      </c>
      <c r="P188" s="882">
        <f>+(K11-K10)/2</f>
        <v>0.5</v>
      </c>
      <c r="Q188" s="883" t="s">
        <v>267</v>
      </c>
    </row>
    <row r="189" spans="1:17" ht="19.899999999999999" customHeight="1">
      <c r="B189" s="1" t="s">
        <v>490</v>
      </c>
      <c r="E189" s="1">
        <f>IF(D188="M200",85,IF(D188="M250",115,IF(D188="M300",130,"Maùc beâ toâng")))</f>
        <v>85</v>
      </c>
      <c r="F189" s="1" t="s">
        <v>65</v>
      </c>
      <c r="J189" s="5" t="s">
        <v>492</v>
      </c>
      <c r="K189" s="1">
        <f>IF(J188="AI",2250,IF(J188="AII",2800,IF(J188="AIII",3650,"nhóm cốt thép")))</f>
        <v>3650</v>
      </c>
      <c r="L189" s="3" t="s">
        <v>65</v>
      </c>
      <c r="O189" s="884" t="s">
        <v>268</v>
      </c>
      <c r="P189" s="9" t="e">
        <f>+F197-K11/2</f>
        <v>#REF!</v>
      </c>
      <c r="Q189" s="885" t="s">
        <v>267</v>
      </c>
    </row>
    <row r="190" spans="1:17" ht="19.899999999999999" customHeight="1">
      <c r="B190" s="1" t="s">
        <v>491</v>
      </c>
      <c r="E190" s="1">
        <f>IF(D188="M200",7.5,IF(D188="M250",8.8,IF(D188="M300",10,"Maùc be toâng")))</f>
        <v>7.5</v>
      </c>
      <c r="F190" s="1" t="s">
        <v>65</v>
      </c>
      <c r="O190" s="884" t="s">
        <v>269</v>
      </c>
      <c r="P190" s="3">
        <f>+K25/2</f>
        <v>0.8</v>
      </c>
      <c r="Q190" s="885" t="s">
        <v>267</v>
      </c>
    </row>
    <row r="191" spans="1:17" ht="19.899999999999999" customHeight="1">
      <c r="A191" s="1" t="s">
        <v>213</v>
      </c>
      <c r="O191" s="886" t="e">
        <f>+IF(P190&gt;P189,"ok")</f>
        <v>#REF!</v>
      </c>
      <c r="Q191" s="885"/>
    </row>
    <row r="192" spans="1:17" ht="19.899999999999999" customHeight="1">
      <c r="B192" s="2" t="s">
        <v>155</v>
      </c>
      <c r="D192" s="5" t="s">
        <v>62</v>
      </c>
      <c r="E192" s="3" t="s">
        <v>6</v>
      </c>
      <c r="F192" s="390" t="e">
        <f>#REF!+#REF!*K18</f>
        <v>#REF!</v>
      </c>
      <c r="G192" s="390"/>
      <c r="H192" s="1" t="s">
        <v>4</v>
      </c>
      <c r="O192" s="884" t="s">
        <v>11</v>
      </c>
      <c r="Q192" s="885"/>
    </row>
    <row r="193" spans="1:17" ht="19.899999999999999" customHeight="1">
      <c r="D193" s="5" t="s">
        <v>7</v>
      </c>
      <c r="E193" s="3" t="s">
        <v>6</v>
      </c>
      <c r="F193" s="100" t="e">
        <f>#REF!/K32</f>
        <v>#REF!</v>
      </c>
      <c r="G193" s="100"/>
      <c r="H193" s="1" t="s">
        <v>10</v>
      </c>
      <c r="O193" s="884" t="s">
        <v>270</v>
      </c>
      <c r="Q193" s="885"/>
    </row>
    <row r="194" spans="1:17" ht="19.899999999999999" customHeight="1">
      <c r="D194" s="5" t="s">
        <v>8</v>
      </c>
      <c r="E194" s="3" t="s">
        <v>6</v>
      </c>
      <c r="F194" s="100" t="e">
        <f>F193+F192/K34</f>
        <v>#REF!</v>
      </c>
      <c r="G194" s="100"/>
      <c r="H194" s="1" t="s">
        <v>10</v>
      </c>
      <c r="O194" s="884" t="s">
        <v>271</v>
      </c>
      <c r="Q194" s="885"/>
    </row>
    <row r="195" spans="1:17" ht="19.899999999999999" customHeight="1">
      <c r="D195" s="5" t="s">
        <v>9</v>
      </c>
      <c r="E195" s="3" t="s">
        <v>6</v>
      </c>
      <c r="F195" s="100" t="e">
        <f>F193-F192/K34</f>
        <v>#REF!</v>
      </c>
      <c r="G195" s="100"/>
      <c r="H195" s="1" t="s">
        <v>10</v>
      </c>
      <c r="O195" s="884" t="s">
        <v>272</v>
      </c>
      <c r="Q195" s="885"/>
    </row>
    <row r="196" spans="1:17" ht="19.899999999999999" customHeight="1">
      <c r="A196" s="1" t="s">
        <v>214</v>
      </c>
      <c r="O196" s="884" t="s">
        <v>273</v>
      </c>
      <c r="Q196" s="885"/>
    </row>
    <row r="197" spans="1:17" ht="19.899999999999999" customHeight="1">
      <c r="B197" s="1" t="s">
        <v>11</v>
      </c>
      <c r="D197" s="5"/>
      <c r="E197" s="3" t="s">
        <v>6</v>
      </c>
      <c r="F197" s="100" t="e">
        <f>(F194*K11)/(F194-F195)</f>
        <v>#REF!</v>
      </c>
      <c r="G197" s="100"/>
      <c r="H197" s="100"/>
      <c r="O197" s="884" t="s">
        <v>274</v>
      </c>
      <c r="Q197" s="885"/>
    </row>
    <row r="198" spans="1:17" ht="19.899999999999999" customHeight="1">
      <c r="A198" s="1" t="s">
        <v>215</v>
      </c>
      <c r="O198" s="884"/>
      <c r="Q198" s="885"/>
    </row>
    <row r="199" spans="1:17" ht="19.899999999999999" customHeight="1">
      <c r="D199" s="5" t="s">
        <v>15</v>
      </c>
      <c r="E199" s="3" t="s">
        <v>6</v>
      </c>
      <c r="F199" s="100" t="e">
        <f>(F194*(F197-F26)/F197)</f>
        <v>#REF!</v>
      </c>
      <c r="H199" s="1" t="s">
        <v>10</v>
      </c>
      <c r="O199" s="884" t="s">
        <v>275</v>
      </c>
      <c r="Q199" s="885"/>
    </row>
    <row r="200" spans="1:17" ht="19.899999999999999" customHeight="1">
      <c r="D200" s="5" t="s">
        <v>16</v>
      </c>
      <c r="E200" s="3" t="s">
        <v>6</v>
      </c>
      <c r="F200" s="100" t="e">
        <f>(F194*(F197-K28-#REF!)/F197)</f>
        <v>#REF!</v>
      </c>
      <c r="H200" s="1" t="s">
        <v>10</v>
      </c>
      <c r="O200" s="884" t="s">
        <v>276</v>
      </c>
      <c r="Q200" s="885"/>
    </row>
    <row r="201" spans="1:17" ht="19.899999999999999" customHeight="1">
      <c r="D201" s="5" t="s">
        <v>14</v>
      </c>
      <c r="E201" s="3" t="s">
        <v>6</v>
      </c>
      <c r="F201" s="100" t="e">
        <f>-(F195*(K11-F197-K28)/(K11-F197))</f>
        <v>#REF!</v>
      </c>
      <c r="H201" s="1" t="s">
        <v>10</v>
      </c>
      <c r="O201" s="884"/>
      <c r="Q201" s="885"/>
    </row>
    <row r="202" spans="1:17" ht="19.899999999999999" customHeight="1">
      <c r="D202" s="5" t="s">
        <v>13</v>
      </c>
      <c r="E202" s="3" t="s">
        <v>6</v>
      </c>
      <c r="F202" s="100" t="e">
        <f>F195*(F197-K11+K28+#REF!)/(K11-F197)</f>
        <v>#REF!</v>
      </c>
      <c r="H202" s="1" t="s">
        <v>10</v>
      </c>
      <c r="O202" s="29" t="s">
        <v>285</v>
      </c>
      <c r="P202" s="777"/>
      <c r="Q202" s="887"/>
    </row>
    <row r="203" spans="1:17" ht="19.899999999999999" customHeight="1">
      <c r="D203" s="5" t="s">
        <v>12</v>
      </c>
      <c r="E203" s="3" t="s">
        <v>6</v>
      </c>
      <c r="F203" s="100" t="e">
        <f>F194*(F197-K11/2)/F197</f>
        <v>#REF!</v>
      </c>
      <c r="H203" s="1" t="s">
        <v>10</v>
      </c>
    </row>
    <row r="204" spans="1:17" ht="19.899999999999999" customHeight="1">
      <c r="D204" s="5" t="s">
        <v>22</v>
      </c>
      <c r="E204" s="3" t="s">
        <v>6</v>
      </c>
      <c r="F204" s="888" t="e">
        <f>F194*(F197-K28*2-#REF!)/F197</f>
        <v>#REF!</v>
      </c>
      <c r="H204" s="1" t="s">
        <v>10</v>
      </c>
    </row>
    <row r="205" spans="1:17" ht="19.899999999999999" customHeight="1">
      <c r="D205" s="5" t="s">
        <v>23</v>
      </c>
      <c r="E205" s="3" t="s">
        <v>6</v>
      </c>
      <c r="F205" s="888" t="e">
        <f>F194*(F197-K11/2+K21/2)/F197</f>
        <v>#REF!</v>
      </c>
      <c r="H205" s="1" t="s">
        <v>10</v>
      </c>
    </row>
    <row r="206" spans="1:17" ht="19.899999999999999" customHeight="1">
      <c r="D206" s="5" t="s">
        <v>144</v>
      </c>
      <c r="E206" s="3" t="s">
        <v>6</v>
      </c>
      <c r="F206" s="888" t="e">
        <f>(F194*(F197-(K11-K10)/2)/F197)</f>
        <v>#REF!</v>
      </c>
      <c r="H206" s="1" t="s">
        <v>10</v>
      </c>
    </row>
    <row r="207" spans="1:17" ht="19.899999999999999" customHeight="1">
      <c r="D207" s="5"/>
      <c r="E207" s="3"/>
      <c r="F207" s="100"/>
      <c r="G207" s="100"/>
      <c r="H207" s="100"/>
    </row>
    <row r="208" spans="1:17" ht="19.899999999999999" customHeight="1">
      <c r="A208" s="5" t="s">
        <v>9</v>
      </c>
      <c r="D208" s="5"/>
      <c r="E208" s="3" t="s">
        <v>12</v>
      </c>
      <c r="F208" s="888" t="s">
        <v>16</v>
      </c>
      <c r="G208" s="100"/>
      <c r="H208" s="100" t="s">
        <v>15</v>
      </c>
    </row>
    <row r="209" spans="1:14" ht="19.899999999999999" customHeight="1">
      <c r="D209" s="5"/>
      <c r="E209" s="3"/>
      <c r="F209" s="100"/>
      <c r="G209" s="100"/>
      <c r="H209" s="100"/>
    </row>
    <row r="210" spans="1:14" ht="19.899999999999999" customHeight="1">
      <c r="A210" s="5"/>
      <c r="B210" s="5" t="s">
        <v>14</v>
      </c>
      <c r="C210" s="3" t="s">
        <v>13</v>
      </c>
      <c r="D210" s="5" t="s">
        <v>40</v>
      </c>
      <c r="E210" s="3" t="s">
        <v>12</v>
      </c>
      <c r="J210" s="1" t="s">
        <v>8</v>
      </c>
    </row>
    <row r="211" spans="1:14" ht="19.899999999999999" customHeight="1">
      <c r="D211" s="5"/>
      <c r="G211" s="1" t="s">
        <v>34</v>
      </c>
    </row>
    <row r="212" spans="1:14" ht="19.899999999999999" customHeight="1">
      <c r="B212" s="5"/>
      <c r="D212" s="3"/>
    </row>
    <row r="213" spans="1:14" ht="19.899999999999999" customHeight="1">
      <c r="E213" s="1" t="s">
        <v>39</v>
      </c>
    </row>
    <row r="214" spans="1:14" ht="19.899999999999999" customHeight="1">
      <c r="A214" s="889" t="s">
        <v>474</v>
      </c>
    </row>
    <row r="215" spans="1:14" ht="19.899999999999999" customHeight="1">
      <c r="B215" s="890" t="s">
        <v>217</v>
      </c>
    </row>
    <row r="216" spans="1:14" ht="19.899999999999999" customHeight="1">
      <c r="B216" s="891" t="s">
        <v>216</v>
      </c>
    </row>
    <row r="217" spans="1:14" ht="19.899999999999999" customHeight="1">
      <c r="B217" s="891" t="s">
        <v>480</v>
      </c>
    </row>
    <row r="218" spans="1:14" ht="19.899999999999999" customHeight="1">
      <c r="B218" s="4" t="s">
        <v>218</v>
      </c>
      <c r="E218" s="3" t="s">
        <v>42</v>
      </c>
      <c r="F218" s="1" t="e">
        <f>K28+#REF!/2</f>
        <v>#REF!</v>
      </c>
      <c r="G218" s="1" t="s">
        <v>0</v>
      </c>
    </row>
    <row r="219" spans="1:14" ht="19.899999999999999" customHeight="1">
      <c r="B219" s="4"/>
      <c r="E219" s="3" t="s">
        <v>43</v>
      </c>
      <c r="F219" s="1" t="e">
        <f>K26+#REF!/2</f>
        <v>#REF!</v>
      </c>
      <c r="G219" s="1" t="s">
        <v>0</v>
      </c>
    </row>
    <row r="220" spans="1:14" ht="19.899999999999999" customHeight="1">
      <c r="B220" s="1" t="s">
        <v>219</v>
      </c>
    </row>
    <row r="221" spans="1:14" ht="19.899999999999999" customHeight="1">
      <c r="B221" s="1" t="s">
        <v>220</v>
      </c>
      <c r="E221" s="3" t="s">
        <v>156</v>
      </c>
      <c r="F221" s="100" t="e">
        <f>F194/(1+F218^4/(F219^4))</f>
        <v>#REF!</v>
      </c>
      <c r="G221" s="1" t="s">
        <v>221</v>
      </c>
      <c r="M221" s="11"/>
      <c r="N221" s="372" t="e">
        <f>+F194/(1+F219^4/F218^4)</f>
        <v>#REF!</v>
      </c>
    </row>
    <row r="222" spans="1:14" ht="19.899999999999999" customHeight="1">
      <c r="E222" s="3" t="s">
        <v>157</v>
      </c>
      <c r="F222" s="100" t="e">
        <f>+F194-F221</f>
        <v>#REF!</v>
      </c>
      <c r="G222" s="1" t="s">
        <v>221</v>
      </c>
      <c r="M222" s="11"/>
      <c r="N222" s="372" t="e">
        <f>+F194-N221</f>
        <v>#REF!</v>
      </c>
    </row>
    <row r="223" spans="1:14" ht="19.899999999999999" customHeight="1">
      <c r="B223" s="1" t="s">
        <v>224</v>
      </c>
      <c r="D223" s="1" t="s">
        <v>158</v>
      </c>
      <c r="J223" s="3"/>
    </row>
    <row r="224" spans="1:14" ht="19.899999999999999" customHeight="1">
      <c r="B224" s="3" t="s">
        <v>159</v>
      </c>
      <c r="C224" s="841" t="e">
        <f>F221*F218^2/2*100000</f>
        <v>#REF!</v>
      </c>
      <c r="D224" s="1" t="s">
        <v>17</v>
      </c>
      <c r="E224" s="5" t="s">
        <v>222</v>
      </c>
      <c r="F224" s="1">
        <f>K20*100</f>
        <v>50</v>
      </c>
      <c r="G224" s="1" t="s">
        <v>18</v>
      </c>
      <c r="I224" s="3" t="e">
        <f>+F218</f>
        <v>#REF!</v>
      </c>
      <c r="M224" s="9"/>
    </row>
    <row r="225" spans="2:13" ht="19.899999999999999" customHeight="1">
      <c r="B225" s="3" t="s">
        <v>160</v>
      </c>
      <c r="C225" s="841" t="e">
        <f>F222*F219^2/2*100000</f>
        <v>#REF!</v>
      </c>
      <c r="D225" s="1" t="s">
        <v>17</v>
      </c>
      <c r="E225" s="5" t="s">
        <v>119</v>
      </c>
      <c r="F225" s="880">
        <v>7.5</v>
      </c>
      <c r="G225" s="1" t="s">
        <v>18</v>
      </c>
      <c r="M225" s="9"/>
    </row>
    <row r="226" spans="2:13" ht="19.899999999999999" customHeight="1">
      <c r="E226" s="892" t="s">
        <v>161</v>
      </c>
      <c r="F226" s="1">
        <f>+F224-F225</f>
        <v>42.5</v>
      </c>
      <c r="G226" s="1" t="s">
        <v>18</v>
      </c>
      <c r="M226" s="9"/>
    </row>
    <row r="227" spans="2:13" ht="19.899999999999999" customHeight="1">
      <c r="B227" s="3" t="s">
        <v>162</v>
      </c>
      <c r="C227" s="9" t="e">
        <f>+C224/(E189*100*F226^2)</f>
        <v>#REF!</v>
      </c>
      <c r="D227" s="1" t="s">
        <v>163</v>
      </c>
      <c r="E227" s="892"/>
      <c r="J227" s="3" t="e">
        <f>+F219</f>
        <v>#REF!</v>
      </c>
      <c r="M227" s="9"/>
    </row>
    <row r="228" spans="2:13" ht="19.899999999999999" customHeight="1">
      <c r="B228" s="3" t="s">
        <v>164</v>
      </c>
      <c r="C228" s="9" t="e">
        <f>+C225/(E189*100*F226^2)</f>
        <v>#REF!</v>
      </c>
      <c r="D228" s="1" t="s">
        <v>163</v>
      </c>
      <c r="E228" s="892"/>
      <c r="M228" s="9"/>
    </row>
    <row r="229" spans="2:13" ht="19.899999999999999" customHeight="1">
      <c r="B229" s="3" t="s">
        <v>165</v>
      </c>
      <c r="C229" s="10" t="e">
        <f>0.5*(1+SQRT(1-2*C227))</f>
        <v>#REF!</v>
      </c>
      <c r="E229" s="3"/>
      <c r="F229" s="9"/>
      <c r="G229" s="9"/>
      <c r="M229" s="9"/>
    </row>
    <row r="230" spans="2:13" ht="19.899999999999999" customHeight="1">
      <c r="B230" s="3" t="s">
        <v>166</v>
      </c>
      <c r="C230" s="10" t="e">
        <f>0.5*(1+SQRT(1-2*C228))</f>
        <v>#REF!</v>
      </c>
      <c r="E230" s="3"/>
      <c r="F230" s="9"/>
      <c r="G230" s="9"/>
      <c r="M230" s="9"/>
    </row>
    <row r="231" spans="2:13" ht="19.899999999999999" customHeight="1">
      <c r="B231" s="1" t="s">
        <v>225</v>
      </c>
      <c r="M231" s="9"/>
    </row>
    <row r="232" spans="2:13" ht="19.899999999999999" customHeight="1">
      <c r="B232" s="1" t="s">
        <v>230</v>
      </c>
      <c r="D232" s="812" t="str">
        <f>J188</f>
        <v>AIII</v>
      </c>
      <c r="E232" s="3" t="s">
        <v>487</v>
      </c>
      <c r="F232" s="9"/>
      <c r="G232" s="9"/>
      <c r="M232" s="9"/>
    </row>
    <row r="233" spans="2:13" ht="19.899999999999999" customHeight="1">
      <c r="B233" s="1" t="s">
        <v>223</v>
      </c>
      <c r="D233" s="1">
        <f>IF(D232="AI",2250,IF(D232="AII",2800,IF(D232="AIII",3650,"nhóm cốt thép")))</f>
        <v>3650</v>
      </c>
      <c r="E233" s="3" t="s">
        <v>65</v>
      </c>
      <c r="F233" s="9"/>
      <c r="G233" s="9"/>
      <c r="M233" s="9"/>
    </row>
    <row r="234" spans="2:13" ht="19.899999999999999" customHeight="1">
      <c r="B234" s="5" t="s">
        <v>167</v>
      </c>
      <c r="C234" s="893" t="e">
        <f>+C224/(D233*C229*$F$226)</f>
        <v>#REF!</v>
      </c>
      <c r="D234" s="1" t="s">
        <v>20</v>
      </c>
      <c r="E234" s="3"/>
      <c r="F234" s="9"/>
      <c r="G234" s="9"/>
      <c r="M234" s="9"/>
    </row>
    <row r="235" spans="2:13" ht="19.899999999999999" customHeight="1">
      <c r="B235" s="5" t="s">
        <v>168</v>
      </c>
      <c r="C235" s="893" t="e">
        <f>+C225/(D233*C230*F226)</f>
        <v>#REF!</v>
      </c>
      <c r="D235" s="1" t="s">
        <v>20</v>
      </c>
      <c r="E235" s="3"/>
      <c r="F235" s="9"/>
      <c r="G235" s="9"/>
      <c r="M235" s="9"/>
    </row>
    <row r="236" spans="2:13" ht="19.899999999999999" customHeight="1">
      <c r="B236" s="1" t="s">
        <v>226</v>
      </c>
      <c r="C236" s="894" t="str">
        <f>12&amp;D232  &amp;"   a  ="</f>
        <v>12AIII   a  =</v>
      </c>
      <c r="D236" s="881">
        <v>200</v>
      </c>
      <c r="E236" s="822"/>
      <c r="F236" s="9"/>
      <c r="G236" s="9"/>
      <c r="M236" s="9"/>
    </row>
    <row r="237" spans="2:13" ht="19.899999999999999" customHeight="1">
      <c r="C237" s="891" t="s">
        <v>57</v>
      </c>
      <c r="D237" s="395" t="str">
        <f>ROUND(VLOOKUP(VALUE(LEFT(C236,2)),$P$21:$S$41,4,0)*1000/D236,2) &amp;"  (cm²/m dài)"</f>
        <v>5.65  (cm²/m dài)</v>
      </c>
      <c r="E237" s="110"/>
      <c r="F237" s="9"/>
      <c r="G237" s="9"/>
      <c r="M237" s="9"/>
    </row>
    <row r="238" spans="2:13" ht="19.899999999999999" customHeight="1">
      <c r="C238" s="890" t="s">
        <v>110</v>
      </c>
      <c r="E238" s="2" t="str">
        <f>0.1*100*F226/100&amp;" (cm²/m dài)"</f>
        <v>4.25 (cm²/m dài)</v>
      </c>
      <c r="F238" s="9"/>
      <c r="G238" s="9"/>
      <c r="M238" s="9"/>
    </row>
    <row r="239" spans="2:13" ht="19.899999999999999" customHeight="1">
      <c r="B239" s="4" t="s">
        <v>227</v>
      </c>
      <c r="C239" s="890"/>
      <c r="E239" s="3" t="s">
        <v>169</v>
      </c>
      <c r="F239" s="9">
        <f>K7</f>
        <v>2.6</v>
      </c>
      <c r="G239" s="9"/>
      <c r="M239" s="9"/>
    </row>
    <row r="240" spans="2:13" ht="19.899999999999999" customHeight="1">
      <c r="C240" s="890"/>
      <c r="E240" s="3" t="s">
        <v>170</v>
      </c>
      <c r="F240" s="9" t="e">
        <f>K28+#REF!/2</f>
        <v>#REF!</v>
      </c>
      <c r="G240" s="9"/>
      <c r="M240" s="9"/>
    </row>
    <row r="241" spans="2:13" ht="19.899999999999999" customHeight="1">
      <c r="B241" s="1" t="s">
        <v>265</v>
      </c>
      <c r="C241" s="890"/>
      <c r="D241" s="10" t="e">
        <f>+F239/F240</f>
        <v>#REF!</v>
      </c>
      <c r="E241" s="2" t="e">
        <f>IF(D241&lt;2,"&lt; 2  Tính theo bản ngàm 3 cạnh","&gt;= 2 Tính theo bản console")</f>
        <v>#REF!</v>
      </c>
      <c r="F241" s="9"/>
      <c r="G241" s="9"/>
      <c r="I241" s="895">
        <f>+F239</f>
        <v>2.6</v>
      </c>
      <c r="M241" s="9"/>
    </row>
    <row r="242" spans="2:13" ht="19.899999999999999" customHeight="1">
      <c r="B242" s="896" t="s">
        <v>475</v>
      </c>
      <c r="C242" s="890"/>
      <c r="E242" s="3"/>
      <c r="F242" s="9"/>
      <c r="G242" s="9"/>
      <c r="M242" s="9"/>
    </row>
    <row r="243" spans="2:13" ht="19.899999999999999" customHeight="1">
      <c r="B243" s="1" t="s">
        <v>231</v>
      </c>
      <c r="C243" s="890"/>
      <c r="E243" s="3"/>
      <c r="F243" s="9"/>
      <c r="G243" s="9"/>
      <c r="M243" s="9"/>
    </row>
    <row r="244" spans="2:13" ht="19.899999999999999" customHeight="1">
      <c r="B244" s="5" t="s">
        <v>171</v>
      </c>
      <c r="C244" s="897" t="e">
        <f>+IF(D241&lt;=1.5,IF(D241&lt;=1.4,IF(D241&lt;=1.3,IF(D241&lt;=1.2,IF(D241&lt;=1.1,Tra!O$5+(D241-Tra!$L$5)*Tra!S$5,Tra!O$6+(D241-Tra!$L$6)*Tra!S$6),Tra!O$7+(D241-Tra!$L$7)*Tra!S$7),Tra!O$8+(D241-Tra!$L$8)*Tra!S$8),Tra!O$9+(D241-Tra!$L$9)*Tra!S$9),Tra!O$10)</f>
        <v>#REF!</v>
      </c>
      <c r="D244" s="5" t="s">
        <v>172</v>
      </c>
      <c r="E244" s="897" t="e">
        <f>+IF(D241&lt;=1.5,IF(D241&lt;=1.4,IF(D241&lt;=1.3,IF(D241&lt;=1.2,IF(D241&lt;=1.1,Tra!M$5+(D241-Tra!$L$5)*Tra!Q$5,Tra!M$6+(D241-Tra!$L$6)*Tra!Q$6),Tra!M$7+(D241-Tra!$L$7)*Tra!Q$7),Tra!M$8+(D241-Tra!$L$8)*Tra!Q$8),Tra!M$9+(D241-Tra!$L$9)*Tra!Q$9),Tra!M$10)</f>
        <v>#REF!</v>
      </c>
      <c r="F244" s="9"/>
      <c r="G244" s="895" t="e">
        <f>+F240</f>
        <v>#REF!</v>
      </c>
      <c r="M244" s="9"/>
    </row>
    <row r="245" spans="2:13" ht="19.899999999999999" customHeight="1">
      <c r="B245" s="5" t="s">
        <v>173</v>
      </c>
      <c r="C245" s="897" t="e">
        <f>+IF(D241&lt;=1.5,IF(D241&lt;=1.4,IF(D241&lt;=1.3,IF(D241&lt;=1.2,IF(D241&lt;=1.1,Tra!P$5+(D241-Tra!$L$5)*Tra!T$5,Tra!P$6+(D241-Tra!$L$6)*Tra!T$6),Tra!P$7+(D241-Tra!$L$7)*Tra!T$7),Tra!P$8+(D241-Tra!$L$8)*Tra!T$8),Tra!P$9+(D241-Tra!$L$9)*Tra!T$9),Tra!P$10)</f>
        <v>#REF!</v>
      </c>
      <c r="D245" s="5" t="s">
        <v>174</v>
      </c>
      <c r="E245" s="897" t="e">
        <f>+IF(D241&lt;=1.5,IF(D241&lt;=1.4,IF(D241&lt;=1.3,IF(D241&lt;=1.2,IF(D241&lt;=1.1,Tra!N$5+(D241-Tra!$L$5)*Tra!R$5,Tra!N$6+(D241-Tra!$L$6)*Tra!R$6),Tra!N$7+(D241-Tra!$L$7)*Tra!R$7),Tra!N$8+(D241-Tra!$L$8)*Tra!R$8),Tra!N$9+(D241-Tra!$L$9)*Tra!R$9),Tra!N$10)</f>
        <v>#REF!</v>
      </c>
      <c r="F245" s="9"/>
      <c r="G245" s="9"/>
      <c r="M245" s="9"/>
    </row>
    <row r="246" spans="2:13" ht="19.899999999999999" customHeight="1">
      <c r="B246" s="2" t="s">
        <v>228</v>
      </c>
      <c r="D246" s="5"/>
      <c r="E246" s="3" t="s">
        <v>175</v>
      </c>
      <c r="F246" s="9" t="e">
        <f>+F194</f>
        <v>#REF!</v>
      </c>
      <c r="G246" s="1" t="s">
        <v>10</v>
      </c>
      <c r="M246" s="9"/>
    </row>
    <row r="247" spans="2:13" ht="19.899999999999999" customHeight="1">
      <c r="B247" s="5" t="s">
        <v>159</v>
      </c>
      <c r="C247" s="898" t="e">
        <f>+IF(D241&lt;2,C244*F246*F239*F240*1000,0)</f>
        <v>#REF!</v>
      </c>
      <c r="D247" s="2" t="s">
        <v>59</v>
      </c>
      <c r="E247" s="5" t="s">
        <v>176</v>
      </c>
      <c r="F247" s="899" t="e">
        <f>+IF(D241&lt;2,E244*F246*F239*F240*1000,0)</f>
        <v>#REF!</v>
      </c>
      <c r="G247" s="2" t="s">
        <v>59</v>
      </c>
      <c r="M247" s="9"/>
    </row>
    <row r="248" spans="2:13" ht="19.899999999999999" customHeight="1">
      <c r="B248" s="5" t="s">
        <v>160</v>
      </c>
      <c r="C248" s="898" t="e">
        <f>+IF(D241&lt;2,C245*F246*F239*F240*1000,0)</f>
        <v>#REF!</v>
      </c>
      <c r="D248" s="2" t="s">
        <v>59</v>
      </c>
      <c r="E248" s="5" t="s">
        <v>177</v>
      </c>
      <c r="F248" s="899" t="e">
        <f>+IF(D241&lt;2,E245*F246*F239*F240*1000,0)</f>
        <v>#REF!</v>
      </c>
      <c r="G248" s="2" t="s">
        <v>59</v>
      </c>
      <c r="M248" s="9"/>
    </row>
    <row r="249" spans="2:13" ht="19.899999999999999" customHeight="1">
      <c r="B249" s="2" t="s">
        <v>229</v>
      </c>
      <c r="D249" s="900" t="e">
        <f>+MAX(C247,C248,F247,F248)</f>
        <v>#REF!</v>
      </c>
      <c r="E249" s="2" t="s">
        <v>59</v>
      </c>
      <c r="F249" s="9"/>
      <c r="G249" s="9"/>
      <c r="M249" s="9"/>
    </row>
    <row r="250" spans="2:13" ht="19.899999999999999" customHeight="1">
      <c r="B250" s="5" t="s">
        <v>58</v>
      </c>
      <c r="C250" s="10" t="e">
        <f>+D249*100/(E189*100*F226^2)</f>
        <v>#REF!</v>
      </c>
      <c r="D250" s="1" t="s">
        <v>163</v>
      </c>
      <c r="E250" s="822" t="s">
        <v>488</v>
      </c>
      <c r="F250" s="901" t="e">
        <f>0.5*(1+SQRT(1-2*C250))</f>
        <v>#REF!</v>
      </c>
      <c r="G250" s="9"/>
      <c r="M250" s="9"/>
    </row>
    <row r="251" spans="2:13" ht="19.899999999999999" customHeight="1">
      <c r="B251" s="1" t="s">
        <v>225</v>
      </c>
      <c r="E251" s="2"/>
      <c r="F251" s="9"/>
      <c r="G251" s="9"/>
      <c r="M251" s="9"/>
    </row>
    <row r="252" spans="2:13" ht="19.899999999999999" customHeight="1">
      <c r="B252" s="1" t="s">
        <v>230</v>
      </c>
      <c r="D252" s="1" t="str">
        <f>+D232</f>
        <v>AIII</v>
      </c>
      <c r="E252" s="2"/>
      <c r="F252" s="9"/>
      <c r="G252" s="9"/>
      <c r="M252" s="9"/>
    </row>
    <row r="253" spans="2:13" ht="19.899999999999999" customHeight="1">
      <c r="B253" s="1" t="s">
        <v>223</v>
      </c>
      <c r="D253" s="1">
        <f>IF(D252="AI",2250,IF(D252="AII",2800,IF(D252="AIII",3650,"nhóm cốt thép")))</f>
        <v>3650</v>
      </c>
      <c r="E253" s="2" t="s">
        <v>65</v>
      </c>
      <c r="F253" s="9"/>
      <c r="G253" s="9"/>
      <c r="M253" s="9"/>
    </row>
    <row r="254" spans="2:13" ht="19.899999999999999" customHeight="1">
      <c r="B254" s="5" t="s">
        <v>60</v>
      </c>
      <c r="C254" s="902" t="e">
        <f>+D249*100/(D253*F250*F226)</f>
        <v>#REF!</v>
      </c>
      <c r="D254" s="395" t="s">
        <v>61</v>
      </c>
      <c r="E254" s="2"/>
      <c r="F254" s="9"/>
      <c r="G254" s="9"/>
      <c r="M254" s="9"/>
    </row>
    <row r="255" spans="2:13" ht="19.899999999999999" customHeight="1">
      <c r="F255" s="9"/>
      <c r="G255" s="9"/>
      <c r="M255" s="9"/>
    </row>
    <row r="256" spans="2:13" ht="19.899999999999999" customHeight="1">
      <c r="B256" s="896" t="s">
        <v>476</v>
      </c>
      <c r="D256" s="900"/>
      <c r="E256" s="2"/>
      <c r="F256" s="9"/>
      <c r="G256" s="9"/>
      <c r="M256" s="9"/>
    </row>
    <row r="257" spans="1:16" ht="19.899999999999999" customHeight="1">
      <c r="B257" s="1" t="s">
        <v>232</v>
      </c>
      <c r="D257" s="903" t="e">
        <f>IF(E241="&gt;= 2 Tính theo bản console",(F199*F240^2/2+(F194-F199)*F240^2/3)*1000,0)</f>
        <v>#REF!</v>
      </c>
      <c r="E257" s="2" t="s">
        <v>233</v>
      </c>
      <c r="F257" s="9"/>
      <c r="G257" s="9"/>
      <c r="M257" s="9"/>
    </row>
    <row r="258" spans="1:16" ht="19.899999999999999" customHeight="1">
      <c r="B258" s="5" t="s">
        <v>41</v>
      </c>
      <c r="C258" s="10" t="e">
        <f>+D257*100/(E189*100*F226^2)</f>
        <v>#REF!</v>
      </c>
      <c r="D258" s="1" t="s">
        <v>163</v>
      </c>
      <c r="E258" s="822" t="s">
        <v>488</v>
      </c>
      <c r="F258" s="901" t="e">
        <f>0.5*(1+SQRT(1-2*C258))</f>
        <v>#REF!</v>
      </c>
      <c r="G258" s="9"/>
      <c r="M258" s="9"/>
    </row>
    <row r="259" spans="1:16" ht="19.899999999999999" customHeight="1">
      <c r="B259" s="1" t="s">
        <v>225</v>
      </c>
      <c r="E259" s="2"/>
      <c r="F259" s="9"/>
      <c r="G259" s="9"/>
      <c r="M259" s="9"/>
    </row>
    <row r="260" spans="1:16" ht="19.899999999999999" customHeight="1">
      <c r="B260" s="1" t="s">
        <v>230</v>
      </c>
      <c r="D260" s="1" t="str">
        <f>+D252</f>
        <v>AIII</v>
      </c>
      <c r="E260" s="2"/>
      <c r="F260" s="9"/>
      <c r="G260" s="9"/>
      <c r="M260" s="9"/>
    </row>
    <row r="261" spans="1:16" ht="19.899999999999999" customHeight="1">
      <c r="B261" s="1" t="s">
        <v>223</v>
      </c>
      <c r="D261" s="1">
        <f>IF(D260="AI",2250,IF(D260="AII",2800,IF(D260="AIII",3650,"nhóm cốt thép")))</f>
        <v>3650</v>
      </c>
      <c r="E261" s="2" t="s">
        <v>65</v>
      </c>
      <c r="F261" s="9"/>
      <c r="G261" s="9"/>
      <c r="M261" s="9"/>
    </row>
    <row r="262" spans="1:16" ht="19.899999999999999" customHeight="1">
      <c r="B262" s="5" t="s">
        <v>60</v>
      </c>
      <c r="C262" s="902" t="e">
        <f>+D257*100/(D261*F258*F226)</f>
        <v>#REF!</v>
      </c>
      <c r="D262" s="395" t="s">
        <v>61</v>
      </c>
      <c r="E262" s="2"/>
      <c r="F262" s="9"/>
      <c r="G262" s="9"/>
      <c r="M262" s="9"/>
    </row>
    <row r="263" spans="1:16" ht="19.899999999999999" customHeight="1">
      <c r="B263" s="5"/>
      <c r="C263" s="10"/>
      <c r="D263" s="395"/>
      <c r="E263" s="2"/>
      <c r="F263" s="9"/>
      <c r="G263" s="9"/>
      <c r="M263" s="9"/>
    </row>
    <row r="264" spans="1:16" ht="19.899999999999999" customHeight="1">
      <c r="B264" s="1" t="s">
        <v>226</v>
      </c>
      <c r="C264" s="1" t="str">
        <f>C236</f>
        <v>12AIII   a  =</v>
      </c>
      <c r="D264" s="904">
        <v>200</v>
      </c>
      <c r="E264" s="2"/>
      <c r="F264" s="9"/>
      <c r="G264" s="9"/>
      <c r="M264" s="9"/>
    </row>
    <row r="265" spans="1:16" ht="19.899999999999999" customHeight="1">
      <c r="B265" s="2"/>
      <c r="C265" s="822" t="s">
        <v>57</v>
      </c>
      <c r="D265" s="395" t="str">
        <f>ROUND(VLOOKUP(VALUE(LEFT(C264,2)),$P$21:$S$41,4,0)*1000/D264,2) &amp;"  (cm²/m dài)"</f>
        <v>5.65  (cm²/m dài)</v>
      </c>
      <c r="E265" s="2"/>
      <c r="F265" s="9"/>
      <c r="G265" s="9"/>
      <c r="M265" s="9"/>
    </row>
    <row r="266" spans="1:16" ht="19.899999999999999" customHeight="1">
      <c r="A266" s="889" t="s">
        <v>473</v>
      </c>
      <c r="I266" s="899" t="e">
        <f>(F194+F204)*(2*K28+#REF!)/2*1000</f>
        <v>#REF!</v>
      </c>
      <c r="J266" s="3" t="s">
        <v>21</v>
      </c>
    </row>
    <row r="267" spans="1:16" ht="19.899999999999999" customHeight="1">
      <c r="J267" s="899"/>
    </row>
    <row r="268" spans="1:16" ht="19.899999999999999" customHeight="1">
      <c r="J268" s="899"/>
      <c r="M268" s="3" t="s">
        <v>145</v>
      </c>
      <c r="N268" s="895" t="e">
        <f>0.5*(K26+#REF!/2)^2*F199*2*1000</f>
        <v>#REF!</v>
      </c>
      <c r="O268" s="3" t="s">
        <v>149</v>
      </c>
      <c r="P268" s="11">
        <f>+K28+N272/2</f>
        <v>1.45</v>
      </c>
    </row>
    <row r="269" spans="1:16" ht="19.899999999999999" customHeight="1">
      <c r="J269" s="899"/>
      <c r="M269" s="3" t="s">
        <v>146</v>
      </c>
      <c r="N269" s="905" t="e">
        <f>0.5*(K26+#REF!/2)^2*0.5*(F194-F199)*2*1000</f>
        <v>#REF!</v>
      </c>
      <c r="O269" s="3" t="s">
        <v>150</v>
      </c>
      <c r="P269" s="11">
        <f>1/2*K28</f>
        <v>0.6</v>
      </c>
    </row>
    <row r="270" spans="1:16" ht="19.899999999999999" customHeight="1">
      <c r="J270" s="899"/>
      <c r="M270" s="3" t="s">
        <v>148</v>
      </c>
      <c r="N270" s="905" t="e">
        <f>+(K26+#REF!/2)*N272*F206*2*1000</f>
        <v>#REF!</v>
      </c>
      <c r="O270" s="3" t="s">
        <v>151</v>
      </c>
      <c r="P270" s="11">
        <f>2/3*K28</f>
        <v>0.79999999999999993</v>
      </c>
    </row>
    <row r="271" spans="1:16" ht="19.899999999999999" customHeight="1">
      <c r="J271" s="899"/>
      <c r="L271" s="906"/>
      <c r="M271" s="3" t="s">
        <v>113</v>
      </c>
      <c r="N271" s="841" t="e">
        <f>+(K11-K8)/2-#REF!/2</f>
        <v>#REF!</v>
      </c>
    </row>
    <row r="272" spans="1:16" ht="19.899999999999999" customHeight="1">
      <c r="J272" s="899"/>
      <c r="L272" s="906"/>
      <c r="M272" s="3" t="s">
        <v>147</v>
      </c>
      <c r="N272" s="11">
        <f>+K28-K26</f>
        <v>0.5</v>
      </c>
    </row>
    <row r="273" spans="2:14" ht="19.899999999999999" customHeight="1">
      <c r="J273" s="899"/>
      <c r="L273" s="906"/>
      <c r="M273" s="3" t="s">
        <v>152</v>
      </c>
      <c r="N273" s="895" t="e">
        <f>L277*L280^2*100*2/3</f>
        <v>#REF!</v>
      </c>
    </row>
    <row r="274" spans="2:14" ht="19.899999999999999" customHeight="1">
      <c r="J274" s="899"/>
      <c r="L274" s="906"/>
      <c r="M274" s="3" t="s">
        <v>152</v>
      </c>
      <c r="N274" s="907" t="e">
        <f>+(N268*P268+N269*P269+N270*P270)*100</f>
        <v>#REF!</v>
      </c>
    </row>
    <row r="275" spans="2:14" ht="19.899999999999999" customHeight="1">
      <c r="I275" s="899" t="e">
        <f>(F194+F205)*(K11-K21)*1000/4</f>
        <v>#REF!</v>
      </c>
      <c r="J275" s="3" t="s">
        <v>21</v>
      </c>
      <c r="L275" s="906"/>
    </row>
    <row r="276" spans="2:14" ht="19.899999999999999" customHeight="1">
      <c r="L276" s="906"/>
    </row>
    <row r="277" spans="2:14" ht="19.899999999999999" customHeight="1">
      <c r="J277" s="899"/>
      <c r="K277" s="3" t="s">
        <v>31</v>
      </c>
      <c r="L277" s="906" t="e">
        <f>I285</f>
        <v>#REF!</v>
      </c>
    </row>
    <row r="278" spans="2:14" ht="19.899999999999999" customHeight="1">
      <c r="J278" s="899"/>
      <c r="K278" s="3" t="s">
        <v>32</v>
      </c>
      <c r="L278" s="906" t="e">
        <f>I275</f>
        <v>#REF!</v>
      </c>
    </row>
    <row r="279" spans="2:14" ht="19.899999999999999" customHeight="1">
      <c r="J279" s="899"/>
      <c r="K279" s="3" t="s">
        <v>481</v>
      </c>
      <c r="L279" s="906">
        <f>K7</f>
        <v>2.6</v>
      </c>
    </row>
    <row r="280" spans="2:14" ht="19.899999999999999" customHeight="1">
      <c r="J280" s="899"/>
      <c r="K280" s="3" t="s">
        <v>482</v>
      </c>
      <c r="L280" s="906">
        <f>(K10-K7)/2</f>
        <v>1.2</v>
      </c>
    </row>
    <row r="281" spans="2:14" ht="19.899999999999999" customHeight="1">
      <c r="J281" s="899"/>
      <c r="K281" s="3" t="s">
        <v>33</v>
      </c>
      <c r="L281" s="906" t="e">
        <f>0.5*(L277*L280+L279*L278-L280*L278)</f>
        <v>#REF!</v>
      </c>
    </row>
    <row r="282" spans="2:14" ht="19.899999999999999" customHeight="1">
      <c r="J282" s="899"/>
    </row>
    <row r="283" spans="2:14" ht="19.899999999999999" customHeight="1">
      <c r="J283" s="899"/>
    </row>
    <row r="285" spans="2:14" ht="19.899999999999999" customHeight="1">
      <c r="E285" s="3"/>
      <c r="I285" s="899" t="e">
        <f>I266</f>
        <v>#REF!</v>
      </c>
      <c r="J285" s="3" t="s">
        <v>21</v>
      </c>
    </row>
    <row r="286" spans="2:14" ht="19.899999999999999" customHeight="1">
      <c r="B286" s="1" t="s">
        <v>224</v>
      </c>
      <c r="D286" s="3" t="s">
        <v>66</v>
      </c>
      <c r="E286" s="908" t="e">
        <f>+N274</f>
        <v>#REF!</v>
      </c>
      <c r="F286" s="1" t="s">
        <v>17</v>
      </c>
      <c r="H286" s="100"/>
      <c r="M286" s="895"/>
    </row>
    <row r="287" spans="2:14" ht="19.899999999999999" customHeight="1">
      <c r="B287" s="1" t="s">
        <v>234</v>
      </c>
      <c r="D287" s="3" t="s">
        <v>66</v>
      </c>
      <c r="E287" s="908" t="e">
        <f>(0.5*L281*L279-0.5*L277*L280*(2*L280/3+L279/2)-L278*(L280/2*(L280/3-L280+L279/2))-L278*(L279-2*L280)^2/8)*100</f>
        <v>#REF!</v>
      </c>
      <c r="F287" s="1" t="s">
        <v>17</v>
      </c>
      <c r="H287" s="100"/>
    </row>
    <row r="288" spans="2:14" ht="19.899999999999999" customHeight="1">
      <c r="B288" s="1" t="s">
        <v>235</v>
      </c>
      <c r="D288" s="3" t="s">
        <v>67</v>
      </c>
      <c r="E288" s="1" t="e">
        <f>100*#REF!</f>
        <v>#REF!</v>
      </c>
      <c r="F288" s="1" t="s">
        <v>18</v>
      </c>
      <c r="G288" s="3"/>
      <c r="H288" s="3"/>
      <c r="I288" s="1" t="s">
        <v>178</v>
      </c>
      <c r="J288" s="1">
        <f>F225</f>
        <v>7.5</v>
      </c>
      <c r="K288" s="3" t="s">
        <v>18</v>
      </c>
    </row>
    <row r="289" spans="2:11" ht="19.899999999999999" customHeight="1">
      <c r="D289" s="3" t="s">
        <v>68</v>
      </c>
      <c r="E289" s="1" t="e">
        <f>100*#REF!</f>
        <v>#REF!</v>
      </c>
      <c r="F289" s="1" t="s">
        <v>18</v>
      </c>
      <c r="G289" s="3"/>
      <c r="H289" s="3"/>
      <c r="I289" s="1" t="s">
        <v>69</v>
      </c>
      <c r="J289" s="1" t="e">
        <f>E289-J288-4</f>
        <v>#REF!</v>
      </c>
      <c r="K289" s="3" t="s">
        <v>18</v>
      </c>
    </row>
    <row r="290" spans="2:11" ht="19.899999999999999" customHeight="1">
      <c r="B290" s="896" t="s">
        <v>236</v>
      </c>
      <c r="D290" s="3" t="s">
        <v>66</v>
      </c>
      <c r="E290" s="909" t="e">
        <f>+E286</f>
        <v>#REF!</v>
      </c>
      <c r="F290" s="1" t="s">
        <v>17</v>
      </c>
      <c r="G290" s="3"/>
      <c r="H290" s="3"/>
    </row>
    <row r="291" spans="2:11" ht="19.899999999999999" customHeight="1">
      <c r="D291" s="822" t="s">
        <v>493</v>
      </c>
      <c r="E291" s="372" t="e">
        <f>E286/($E$189*$E$288*$J$289^2)</f>
        <v>#REF!</v>
      </c>
      <c r="F291" s="1" t="s">
        <v>19</v>
      </c>
    </row>
    <row r="292" spans="2:11" ht="19.899999999999999" customHeight="1">
      <c r="D292" s="822" t="s">
        <v>494</v>
      </c>
      <c r="E292" s="910" t="e">
        <f>0.5*(1+SQRT(1-2*E291))</f>
        <v>#REF!</v>
      </c>
    </row>
    <row r="293" spans="2:11" ht="19.899999999999999" customHeight="1">
      <c r="E293" s="372"/>
    </row>
    <row r="294" spans="2:11" ht="19.899999999999999" customHeight="1">
      <c r="B294" s="1" t="s">
        <v>239</v>
      </c>
      <c r="D294" s="1" t="s">
        <v>55</v>
      </c>
    </row>
    <row r="295" spans="2:11" ht="19.899999999999999" customHeight="1">
      <c r="B295" s="1" t="s">
        <v>223</v>
      </c>
      <c r="D295" s="1">
        <f>IF(D294="AI",2250,IF(D294="AII",2800,IF(D294="AIII",3650,"nhóm cốt thép")))</f>
        <v>3650</v>
      </c>
      <c r="E295" s="372" t="s">
        <v>65</v>
      </c>
    </row>
    <row r="296" spans="2:11" ht="19.899999999999999" customHeight="1">
      <c r="C296" s="822" t="s">
        <v>57</v>
      </c>
      <c r="D296" s="911" t="e">
        <f>+E290/(D295*E292*$J$289)</f>
        <v>#REF!</v>
      </c>
      <c r="E296" s="1" t="s">
        <v>20</v>
      </c>
    </row>
    <row r="297" spans="2:11" ht="19.899999999999999" customHeight="1">
      <c r="D297" s="3"/>
      <c r="E297" s="372"/>
    </row>
    <row r="298" spans="2:11" ht="19.899999999999999" customHeight="1">
      <c r="B298" s="896" t="s">
        <v>238</v>
      </c>
      <c r="D298" s="3" t="s">
        <v>66</v>
      </c>
      <c r="E298" s="912" t="e">
        <f>+ABS(E287)</f>
        <v>#REF!</v>
      </c>
      <c r="F298" s="1" t="s">
        <v>17</v>
      </c>
    </row>
    <row r="299" spans="2:11" ht="19.899999999999999" customHeight="1">
      <c r="D299" s="822" t="s">
        <v>493</v>
      </c>
      <c r="E299" s="372" t="e">
        <f>E298/($E$189*$E$288*$J$289^2)</f>
        <v>#REF!</v>
      </c>
      <c r="F299" s="1" t="s">
        <v>19</v>
      </c>
    </row>
    <row r="300" spans="2:11" ht="19.899999999999999" customHeight="1">
      <c r="D300" s="822" t="s">
        <v>494</v>
      </c>
      <c r="E300" s="910" t="e">
        <f>0.5*(1+SQRT(1-2*E299))</f>
        <v>#REF!</v>
      </c>
    </row>
    <row r="301" spans="2:11" ht="19.899999999999999" customHeight="1">
      <c r="D301" s="822"/>
      <c r="E301" s="395"/>
    </row>
    <row r="302" spans="2:11" ht="19.899999999999999" customHeight="1">
      <c r="B302" s="1" t="s">
        <v>239</v>
      </c>
      <c r="D302" s="8" t="str">
        <f>J188</f>
        <v>AIII</v>
      </c>
      <c r="E302" s="395"/>
    </row>
    <row r="303" spans="2:11" ht="19.899999999999999" customHeight="1">
      <c r="B303" s="1" t="s">
        <v>223</v>
      </c>
      <c r="D303" s="1">
        <f>IF(D302="AI",2250,IF(D302="AII",2800,IF(D302="AIII",3650,"nhóm cốt thép")))</f>
        <v>3650</v>
      </c>
      <c r="E303" s="372" t="s">
        <v>65</v>
      </c>
    </row>
    <row r="304" spans="2:11" ht="19.899999999999999" customHeight="1">
      <c r="C304" s="822" t="s">
        <v>57</v>
      </c>
      <c r="D304" s="911" t="e">
        <f>+E298/(D303*E300*$J$289)</f>
        <v>#REF!</v>
      </c>
      <c r="E304" s="1" t="s">
        <v>20</v>
      </c>
    </row>
    <row r="305" spans="1:11" ht="19.899999999999999" customHeight="1">
      <c r="B305" s="1" t="s">
        <v>237</v>
      </c>
      <c r="C305" s="913" t="str">
        <f>"06"&amp;"Ø"&amp;20&amp;D302</f>
        <v>06Ø20AIII</v>
      </c>
      <c r="D305" s="822" t="s">
        <v>57</v>
      </c>
      <c r="E305" s="395" t="str">
        <f>+ROUND(LEFT(C305,2)*VLOOKUP(VALUE(MID(C305,4,2)),$P$21:$S$41,4,0),2)&amp;"  cm²"</f>
        <v>18.84  cm²</v>
      </c>
    </row>
    <row r="306" spans="1:11" ht="19.899999999999999" customHeight="1">
      <c r="B306" s="896" t="s">
        <v>277</v>
      </c>
      <c r="D306" s="822"/>
      <c r="E306" s="914"/>
    </row>
    <row r="307" spans="1:11" ht="19.899999999999999" customHeight="1">
      <c r="B307" s="1" t="s">
        <v>278</v>
      </c>
      <c r="D307" s="822"/>
      <c r="E307" s="914"/>
    </row>
    <row r="308" spans="1:11" ht="19.899999999999999" customHeight="1">
      <c r="C308" s="5" t="s">
        <v>78</v>
      </c>
      <c r="D308" s="915" t="e">
        <f>1/2*N270*F26</f>
        <v>#REF!</v>
      </c>
      <c r="E308" s="914" t="s">
        <v>21</v>
      </c>
    </row>
    <row r="309" spans="1:11" ht="19.899999999999999" customHeight="1">
      <c r="B309" s="1" t="s">
        <v>263</v>
      </c>
      <c r="C309" s="5"/>
      <c r="D309" s="915"/>
      <c r="E309" s="914"/>
    </row>
    <row r="310" spans="1:11" ht="19.899999999999999" customHeight="1">
      <c r="C310" s="5" t="s">
        <v>279</v>
      </c>
      <c r="D310" s="915" t="e">
        <f>0.6*E190*E288*J289</f>
        <v>#REF!</v>
      </c>
      <c r="E310" s="1" t="s">
        <v>286</v>
      </c>
      <c r="F310" s="8" t="e">
        <f>+IF(D310&gt;D308, "Bêtông đủ khả năng chịu cắt","Qc &lt; Q ==&gt; Tính cốt đai")</f>
        <v>#REF!</v>
      </c>
      <c r="G310" s="8"/>
      <c r="H310" s="8"/>
    </row>
    <row r="311" spans="1:11" ht="19.899999999999999" customHeight="1">
      <c r="B311" s="1" t="s">
        <v>280</v>
      </c>
      <c r="C311" s="916">
        <v>10</v>
      </c>
      <c r="D311" s="900" t="s">
        <v>281</v>
      </c>
      <c r="E311" s="1">
        <f>+C311*C311*3.14/4/100</f>
        <v>0.78500000000000003</v>
      </c>
      <c r="F311" s="1" t="s">
        <v>20</v>
      </c>
    </row>
    <row r="312" spans="1:11" ht="19.899999999999999" customHeight="1">
      <c r="B312" s="5" t="s">
        <v>282</v>
      </c>
      <c r="C312" s="916">
        <v>2</v>
      </c>
      <c r="D312" s="900" t="s">
        <v>283</v>
      </c>
      <c r="E312" s="8">
        <v>30</v>
      </c>
      <c r="F312" s="1" t="s">
        <v>18</v>
      </c>
    </row>
    <row r="313" spans="1:11" ht="19.899999999999999" customHeight="1">
      <c r="B313" s="5"/>
      <c r="C313" s="916"/>
      <c r="D313"/>
    </row>
    <row r="314" spans="1:11" ht="19.899999999999999" customHeight="1">
      <c r="B314" s="5"/>
      <c r="E314" s="917">
        <f>0.8*2300*C312*E311/E312</f>
        <v>96.293333333333337</v>
      </c>
      <c r="F314" s="395" t="s">
        <v>21</v>
      </c>
    </row>
    <row r="315" spans="1:11" ht="19.899999999999999" customHeight="1">
      <c r="B315" s="5"/>
      <c r="C315" s="916"/>
      <c r="D315" s="900"/>
    </row>
    <row r="316" spans="1:11" ht="19.899999999999999" customHeight="1">
      <c r="B316" s="5"/>
      <c r="C316" s="916"/>
      <c r="D316" s="900"/>
      <c r="E316" s="918" t="e">
        <f>2.8*J289*SQRT(E190*E288*E314)</f>
        <v>#REF!</v>
      </c>
      <c r="F316" s="395" t="s">
        <v>284</v>
      </c>
    </row>
    <row r="317" spans="1:11" ht="19.899999999999999" customHeight="1">
      <c r="C317" s="916"/>
      <c r="D317" s="900"/>
    </row>
    <row r="318" spans="1:11" ht="19.899999999999999" customHeight="1">
      <c r="B318" s="2" t="str">
        <f>+"Bố trí cốt đai Ø = "&amp;C311&amp;" ,n = "&amp;C312&amp;" nhánh, u =  "&amp;E312&amp;" cm"</f>
        <v>Bố trí cốt đai Ø = 10 ,n = 2 nhánh, u =  30 cm</v>
      </c>
      <c r="C318" s="916"/>
      <c r="D318" s="900"/>
    </row>
    <row r="319" spans="1:11" ht="19.899999999999999" customHeight="1">
      <c r="A319" s="889" t="s">
        <v>472</v>
      </c>
    </row>
    <row r="320" spans="1:11" ht="19.899999999999999" customHeight="1">
      <c r="B320" s="4" t="s">
        <v>244</v>
      </c>
      <c r="J320" s="100" t="e">
        <f>+ROUND(C322,2)</f>
        <v>#REF!</v>
      </c>
      <c r="K320" s="1" t="s">
        <v>3</v>
      </c>
    </row>
    <row r="321" spans="2:11" ht="19.899999999999999" customHeight="1">
      <c r="B321" s="1" t="s">
        <v>240</v>
      </c>
      <c r="E321" s="1" t="s">
        <v>241</v>
      </c>
    </row>
    <row r="322" spans="2:11" ht="19.899999999999999" customHeight="1">
      <c r="B322" s="5" t="s">
        <v>77</v>
      </c>
      <c r="C322" s="899" t="e">
        <f>#REF!</f>
        <v>#REF!</v>
      </c>
      <c r="D322" s="1" t="s">
        <v>3</v>
      </c>
      <c r="E322" s="5" t="s">
        <v>73</v>
      </c>
      <c r="F322" s="1">
        <f>K23*100</f>
        <v>100</v>
      </c>
      <c r="G322" s="2" t="s">
        <v>18</v>
      </c>
      <c r="I322" s="900" t="e">
        <f>+ROUND(C323,2)</f>
        <v>#REF!</v>
      </c>
      <c r="J322" s="1" t="s">
        <v>3</v>
      </c>
    </row>
    <row r="323" spans="2:11" ht="19.899999999999999" customHeight="1">
      <c r="B323" s="5" t="s">
        <v>78</v>
      </c>
      <c r="C323" s="899" t="e">
        <f>+#REF!</f>
        <v>#REF!</v>
      </c>
      <c r="D323" s="1" t="s">
        <v>3</v>
      </c>
      <c r="E323" s="5" t="s">
        <v>68</v>
      </c>
      <c r="F323" s="1">
        <f>+F322</f>
        <v>100</v>
      </c>
      <c r="G323" s="2" t="s">
        <v>18</v>
      </c>
      <c r="K323" s="1589" t="e">
        <f>F324</f>
        <v>#REF!</v>
      </c>
    </row>
    <row r="324" spans="2:11" ht="19.899999999999999" customHeight="1">
      <c r="B324" s="1" t="s">
        <v>242</v>
      </c>
      <c r="E324" s="5" t="s">
        <v>74</v>
      </c>
      <c r="F324" s="1" t="e">
        <f>(K18-#REF!)*100</f>
        <v>#REF!</v>
      </c>
      <c r="G324" s="2" t="s">
        <v>18</v>
      </c>
      <c r="K324" s="1589"/>
    </row>
    <row r="325" spans="2:11" ht="19.899999999999999" customHeight="1">
      <c r="B325" s="5" t="s">
        <v>66</v>
      </c>
      <c r="C325" s="899" t="e">
        <f>I322*F324/100</f>
        <v>#REF!</v>
      </c>
      <c r="D325" s="1" t="s">
        <v>4</v>
      </c>
      <c r="E325" s="5" t="s">
        <v>179</v>
      </c>
      <c r="F325" s="880">
        <v>7.5</v>
      </c>
      <c r="G325" s="1" t="s">
        <v>18</v>
      </c>
      <c r="I325" s="5"/>
      <c r="J325" s="5"/>
      <c r="K325" s="1589"/>
    </row>
    <row r="326" spans="2:11" ht="19.899999999999999" customHeight="1">
      <c r="B326" s="5" t="s">
        <v>180</v>
      </c>
      <c r="C326" s="899" t="e">
        <f>+C322*0.8</f>
        <v>#REF!</v>
      </c>
      <c r="D326" s="1" t="s">
        <v>3</v>
      </c>
      <c r="E326" s="5" t="s">
        <v>69</v>
      </c>
      <c r="F326" s="1">
        <f>F323-F325</f>
        <v>92.5</v>
      </c>
      <c r="G326" s="1" t="s">
        <v>18</v>
      </c>
      <c r="I326" s="5"/>
      <c r="J326" s="5"/>
      <c r="K326" s="1589"/>
    </row>
    <row r="327" spans="2:11" ht="19.899999999999999" customHeight="1">
      <c r="B327" s="5" t="s">
        <v>181</v>
      </c>
      <c r="C327" s="899" t="e">
        <f>+C325*0.8</f>
        <v>#REF!</v>
      </c>
      <c r="D327" s="1" t="s">
        <v>4</v>
      </c>
      <c r="E327" s="5"/>
      <c r="I327" s="5"/>
      <c r="J327" s="5"/>
      <c r="K327" s="1589"/>
    </row>
    <row r="328" spans="2:11" ht="19.899999999999999" customHeight="1">
      <c r="B328" s="2" t="s">
        <v>243</v>
      </c>
      <c r="F328" s="5"/>
      <c r="J328" s="5"/>
      <c r="K328" s="1589"/>
    </row>
    <row r="329" spans="2:11" ht="19.899999999999999" customHeight="1">
      <c r="B329" s="5" t="s">
        <v>182</v>
      </c>
      <c r="C329" s="1">
        <f>+MAX(F323/25,2)</f>
        <v>4</v>
      </c>
      <c r="D329" s="1" t="s">
        <v>18</v>
      </c>
      <c r="F329" s="5"/>
      <c r="J329" s="1583" t="s">
        <v>495</v>
      </c>
      <c r="K329" s="1583"/>
    </row>
    <row r="330" spans="2:11" ht="19.899999999999999" customHeight="1">
      <c r="B330" s="5"/>
      <c r="F330" s="5"/>
      <c r="J330" s="5"/>
    </row>
    <row r="331" spans="2:11" ht="19.899999999999999" customHeight="1">
      <c r="B331" s="5"/>
      <c r="F331" s="5"/>
      <c r="J331" s="5"/>
    </row>
    <row r="332" spans="2:11" ht="19.899999999999999" customHeight="1">
      <c r="B332" s="2" t="s">
        <v>245</v>
      </c>
      <c r="F332" s="3"/>
    </row>
    <row r="333" spans="2:11" ht="19.899999999999999" customHeight="1">
      <c r="B333" s="5" t="s">
        <v>183</v>
      </c>
      <c r="C333" s="899" t="e">
        <f>C325*100000/(C322*1000)</f>
        <v>#REF!</v>
      </c>
      <c r="D333" s="1" t="s">
        <v>18</v>
      </c>
    </row>
    <row r="334" spans="2:11" ht="19.899999999999999" customHeight="1">
      <c r="B334" s="1" t="s">
        <v>246</v>
      </c>
    </row>
    <row r="335" spans="2:11" ht="19.899999999999999" customHeight="1">
      <c r="B335" s="5" t="s">
        <v>184</v>
      </c>
      <c r="C335" s="100" t="e">
        <f>+C333+C329</f>
        <v>#REF!</v>
      </c>
      <c r="D335" s="1" t="s">
        <v>18</v>
      </c>
      <c r="E335" s="3"/>
    </row>
    <row r="336" spans="2:11" ht="19.899999999999999" customHeight="1">
      <c r="B336" s="5" t="s">
        <v>185</v>
      </c>
      <c r="C336" s="899" t="e">
        <f>+C335/F323</f>
        <v>#REF!</v>
      </c>
      <c r="F336" s="3"/>
    </row>
    <row r="337" spans="2:9" ht="19.899999999999999" customHeight="1">
      <c r="B337" s="2" t="s">
        <v>247</v>
      </c>
    </row>
    <row r="338" spans="2:9" ht="19.899999999999999" customHeight="1">
      <c r="B338" s="5" t="s">
        <v>79</v>
      </c>
      <c r="C338" s="10" t="e">
        <f>+IF(C336&lt;=0.05,0.84,IF(C336&gt;=5,0.122,0.11/(0.1+C336)+0.1))</f>
        <v>#REF!</v>
      </c>
    </row>
    <row r="339" spans="2:9" ht="19.899999999999999" customHeight="1">
      <c r="B339" s="2" t="s">
        <v>248</v>
      </c>
      <c r="F339" s="3"/>
    </row>
    <row r="340" spans="2:9" ht="19.899999999999999" customHeight="1">
      <c r="B340" s="5" t="s">
        <v>186</v>
      </c>
      <c r="C340" s="899" t="e">
        <f>1+(C327+C326*F323/(2*100))/(C325+C322*F323/(2*100))</f>
        <v>#REF!</v>
      </c>
      <c r="F340" s="3"/>
    </row>
    <row r="341" spans="2:9" ht="19.899999999999999" customHeight="1">
      <c r="B341" s="2" t="s">
        <v>249</v>
      </c>
      <c r="C341" s="5" t="s">
        <v>80</v>
      </c>
      <c r="D341" s="913">
        <v>2E-3</v>
      </c>
      <c r="I341" s="3"/>
    </row>
    <row r="342" spans="2:9" ht="19.899999999999999" customHeight="1">
      <c r="B342" s="1" t="s">
        <v>81</v>
      </c>
      <c r="C342" s="5" t="s">
        <v>187</v>
      </c>
      <c r="D342" s="909">
        <f>+D341*F322*F326*(0.5*F323-F325)^2</f>
        <v>33415.625</v>
      </c>
      <c r="E342" s="1" t="s">
        <v>188</v>
      </c>
      <c r="F342" s="2" t="s">
        <v>189</v>
      </c>
      <c r="I342" s="3"/>
    </row>
    <row r="343" spans="2:9" ht="19.899999999999999" customHeight="1">
      <c r="C343" s="5" t="s">
        <v>190</v>
      </c>
      <c r="D343" s="909">
        <f>+(F322*F323^3)/12</f>
        <v>8333333.333333333</v>
      </c>
      <c r="E343" s="1" t="s">
        <v>188</v>
      </c>
      <c r="F343" s="2" t="s">
        <v>191</v>
      </c>
      <c r="I343" s="3"/>
    </row>
    <row r="344" spans="2:9" ht="19.899999999999999" customHeight="1">
      <c r="C344" s="919" t="s">
        <v>82</v>
      </c>
      <c r="D344" s="8">
        <f>2.1*1000000</f>
        <v>2100000</v>
      </c>
      <c r="E344" s="1" t="s">
        <v>84</v>
      </c>
      <c r="I344" s="3"/>
    </row>
    <row r="345" spans="2:9" ht="19.899999999999999" customHeight="1">
      <c r="C345" s="919" t="s">
        <v>83</v>
      </c>
      <c r="D345" s="8">
        <v>240000</v>
      </c>
      <c r="E345" s="1" t="s">
        <v>84</v>
      </c>
      <c r="I345" s="3"/>
    </row>
    <row r="346" spans="2:9" ht="19.899999999999999" customHeight="1">
      <c r="B346" s="1" t="s">
        <v>250</v>
      </c>
      <c r="I346" s="3"/>
    </row>
    <row r="347" spans="2:9" ht="19.899999999999999" customHeight="1">
      <c r="I347" s="3"/>
    </row>
    <row r="348" spans="2:9" ht="19.899999999999999" customHeight="1">
      <c r="D348" s="5" t="s">
        <v>6</v>
      </c>
      <c r="E348" s="899" t="e">
        <f>+(6.4/F324^2)*((C338/C340)*D345*D343+D344*D342)/1000</f>
        <v>#REF!</v>
      </c>
      <c r="F348" s="1" t="s">
        <v>3</v>
      </c>
      <c r="I348" s="3"/>
    </row>
    <row r="349" spans="2:9" ht="19.899999999999999" customHeight="1">
      <c r="I349" s="3"/>
    </row>
    <row r="350" spans="2:9" ht="19.899999999999999" customHeight="1">
      <c r="B350" s="1" t="s">
        <v>251</v>
      </c>
      <c r="D350" s="5" t="s">
        <v>6</v>
      </c>
      <c r="E350" s="920" t="e">
        <f>1/(1-C322/E348)</f>
        <v>#REF!</v>
      </c>
      <c r="I350" s="3"/>
    </row>
    <row r="351" spans="2:9" ht="19.899999999999999" customHeight="1">
      <c r="I351" s="3"/>
    </row>
    <row r="352" spans="2:9" ht="19.899999999999999" customHeight="1">
      <c r="I352" s="3"/>
    </row>
    <row r="353" spans="2:18" ht="19.899999999999999" customHeight="1">
      <c r="B353" s="1" t="s">
        <v>252</v>
      </c>
      <c r="D353" s="5" t="s">
        <v>75</v>
      </c>
      <c r="E353" s="100" t="e">
        <f>+E350*C335+F323/2-F325</f>
        <v>#REF!</v>
      </c>
      <c r="F353" s="1" t="s">
        <v>18</v>
      </c>
      <c r="G353" s="1" t="s">
        <v>192</v>
      </c>
      <c r="I353" s="3"/>
    </row>
    <row r="354" spans="2:18" ht="19.899999999999999" customHeight="1">
      <c r="D354" s="5" t="s">
        <v>76</v>
      </c>
      <c r="E354" s="100" t="e">
        <f>ABS(E350*C335-F323/2+F325)</f>
        <v>#REF!</v>
      </c>
      <c r="G354" s="1" t="s">
        <v>193</v>
      </c>
    </row>
    <row r="355" spans="2:18" ht="19.899999999999999" customHeight="1">
      <c r="B355" s="1" t="s">
        <v>253</v>
      </c>
      <c r="D355" s="5" t="s">
        <v>85</v>
      </c>
      <c r="E355" s="899" t="e">
        <f>+C322*1000/(E189*F322)</f>
        <v>#REF!</v>
      </c>
      <c r="F355" s="1" t="s">
        <v>18</v>
      </c>
      <c r="H355" s="100"/>
    </row>
    <row r="356" spans="2:18" ht="19.899999999999999" customHeight="1">
      <c r="D356" s="5" t="s">
        <v>194</v>
      </c>
      <c r="E356" s="100">
        <f>0.62*F326</f>
        <v>57.35</v>
      </c>
      <c r="F356" s="1" t="s">
        <v>18</v>
      </c>
      <c r="G356" s="891" t="s">
        <v>64</v>
      </c>
      <c r="H356" s="2" t="e">
        <f>+IF(E355&lt;=E356,"x&lt;αoho ","x&gt;αoho")</f>
        <v>#REF!</v>
      </c>
    </row>
    <row r="357" spans="2:18" ht="19.899999999999999" customHeight="1">
      <c r="C357" s="892" t="s">
        <v>64</v>
      </c>
      <c r="D357" s="2" t="e">
        <f>+IF(E355&lt;=E356,"Xảy ra trường hợp nén lệch tâm lớn","Xảy ra trường hợp nén lệch tâm bé ")</f>
        <v>#REF!</v>
      </c>
      <c r="E357" s="100"/>
      <c r="H357" s="100"/>
    </row>
    <row r="358" spans="2:18" ht="19.899999999999999" customHeight="1">
      <c r="B358" s="382" t="s">
        <v>254</v>
      </c>
      <c r="C358" s="892"/>
      <c r="D358" s="2"/>
      <c r="E358" s="100"/>
      <c r="H358" s="100"/>
      <c r="K358" s="110"/>
      <c r="L358" s="921"/>
      <c r="N358" s="11"/>
      <c r="Q358" s="11"/>
      <c r="R358" s="11"/>
    </row>
    <row r="359" spans="2:18" ht="19.899999999999999" customHeight="1">
      <c r="B359" s="1" t="s">
        <v>258</v>
      </c>
      <c r="D359" s="1" t="str">
        <f>+D302</f>
        <v>AIII</v>
      </c>
      <c r="E359" s="100"/>
      <c r="H359" s="100"/>
      <c r="N359" s="11"/>
      <c r="Q359" s="11"/>
      <c r="R359" s="11"/>
    </row>
    <row r="360" spans="2:18" ht="19.899999999999999" customHeight="1">
      <c r="B360" s="1" t="s">
        <v>223</v>
      </c>
      <c r="D360" s="1">
        <f>IF(D359="AI",2250,IF(D359="AII",2800,IF(D359="AIII",3650,"nhóm cốt thép")))</f>
        <v>3650</v>
      </c>
      <c r="E360" s="100" t="s">
        <v>65</v>
      </c>
      <c r="H360" s="100"/>
      <c r="N360" s="11"/>
      <c r="Q360" s="11"/>
      <c r="R360" s="11"/>
    </row>
    <row r="361" spans="2:18" ht="19.899999999999999" customHeight="1">
      <c r="C361" s="1" t="e">
        <f>+IF(E355&gt;2*F325,"x&gt;2a' ==&gt;","x&lt;2a' ==&gt;")</f>
        <v>#REF!</v>
      </c>
      <c r="D361" s="2" t="e">
        <f>+IF(E355&gt;2*F325,"Fa = F'a = N(e-ho+0.5x)/(R'a(ho-a'))","Fa = F'a = Ne'/(Ra(ho-a'))")</f>
        <v>#REF!</v>
      </c>
      <c r="E361" s="100"/>
      <c r="H361" s="100"/>
      <c r="N361" s="11"/>
      <c r="Q361" s="11"/>
      <c r="R361" s="11"/>
    </row>
    <row r="362" spans="2:18" ht="19.899999999999999" customHeight="1">
      <c r="D362" s="5" t="s">
        <v>86</v>
      </c>
      <c r="E362" s="922" t="e">
        <f>+IF(E355&gt;2*F325,C322*1000*(E353-F326+0.5*E355)/(D360*(F326-F325)),C322*1000*E354/(D360*(F326-F325)))</f>
        <v>#REF!</v>
      </c>
      <c r="F362" s="1" t="s">
        <v>20</v>
      </c>
      <c r="H362" s="100"/>
      <c r="N362" s="11"/>
      <c r="Q362" s="11"/>
      <c r="R362" s="11"/>
    </row>
    <row r="363" spans="2:18" ht="19.899999999999999" customHeight="1">
      <c r="B363" s="923" t="s">
        <v>255</v>
      </c>
      <c r="C363" s="924" t="s">
        <v>87</v>
      </c>
      <c r="D363" s="925" t="e">
        <f>+E362*2/(F322*F326)</f>
        <v>#REF!</v>
      </c>
      <c r="E363" s="926" t="s">
        <v>256</v>
      </c>
      <c r="F363" s="923"/>
      <c r="G363" s="927" t="s">
        <v>80</v>
      </c>
      <c r="H363" s="925" t="e">
        <f>+D363/2+D341/2</f>
        <v>#REF!</v>
      </c>
      <c r="L363" s="921"/>
      <c r="M363" s="928"/>
      <c r="N363" s="929"/>
      <c r="P363" s="11"/>
      <c r="Q363" s="928"/>
      <c r="R363" s="928"/>
    </row>
    <row r="364" spans="2:18" ht="19.899999999999999" customHeight="1">
      <c r="B364" s="930" t="s">
        <v>257</v>
      </c>
      <c r="C364" s="931"/>
      <c r="D364" s="932"/>
      <c r="E364" s="933"/>
      <c r="F364" s="934"/>
      <c r="G364" s="934"/>
      <c r="H364" s="933"/>
      <c r="K364" s="110"/>
      <c r="L364" s="921"/>
      <c r="N364" s="11"/>
      <c r="Q364" s="11"/>
      <c r="R364" s="11"/>
    </row>
    <row r="365" spans="2:18" ht="19.899999999999999" customHeight="1">
      <c r="B365" s="934" t="s">
        <v>258</v>
      </c>
      <c r="C365" s="934"/>
      <c r="D365" s="934" t="str">
        <f>+D359</f>
        <v>AIII</v>
      </c>
      <c r="E365" s="933"/>
      <c r="F365" s="934"/>
      <c r="G365" s="934"/>
      <c r="H365" s="933"/>
      <c r="N365" s="11"/>
      <c r="Q365" s="11"/>
      <c r="R365" s="11"/>
    </row>
    <row r="366" spans="2:18" ht="19.899999999999999" customHeight="1">
      <c r="B366" s="934" t="s">
        <v>223</v>
      </c>
      <c r="C366" s="934"/>
      <c r="D366" s="1">
        <f>IF(D365="AI",2250,IF(D365="AII",2800,IF(D365="AIII",3650,"Nhóm cốt thép")))</f>
        <v>3650</v>
      </c>
      <c r="E366" s="933" t="s">
        <v>65</v>
      </c>
      <c r="F366" s="934"/>
      <c r="G366" s="934"/>
      <c r="H366" s="933"/>
      <c r="N366" s="11"/>
      <c r="Q366" s="11"/>
      <c r="R366" s="11"/>
    </row>
    <row r="367" spans="2:18" ht="19.899999999999999" customHeight="1">
      <c r="B367" s="934"/>
      <c r="C367" s="935" t="s">
        <v>195</v>
      </c>
      <c r="D367" s="932">
        <f>0.4*(1.25*F323-0.62*F326)</f>
        <v>27.060000000000002</v>
      </c>
      <c r="E367" s="933" t="s">
        <v>18</v>
      </c>
      <c r="F367" s="934" t="s">
        <v>196</v>
      </c>
      <c r="G367" s="934"/>
      <c r="H367" s="933"/>
      <c r="N367" s="11"/>
      <c r="Q367" s="11"/>
      <c r="R367" s="11"/>
    </row>
    <row r="368" spans="2:18" ht="19.899999999999999" customHeight="1">
      <c r="B368" s="934"/>
      <c r="C368" s="935" t="s">
        <v>197</v>
      </c>
      <c r="D368" s="936" t="e">
        <f>+E350*C335</f>
        <v>#REF!</v>
      </c>
      <c r="E368" s="933" t="s">
        <v>18</v>
      </c>
      <c r="F368" s="934"/>
      <c r="G368" s="934"/>
      <c r="H368" s="933"/>
      <c r="M368" s="9"/>
      <c r="N368" s="11"/>
      <c r="Q368" s="11"/>
      <c r="R368" s="11"/>
    </row>
    <row r="369" spans="2:18" ht="19.899999999999999" customHeight="1">
      <c r="B369" s="934"/>
      <c r="C369" s="935" t="s">
        <v>198</v>
      </c>
      <c r="D369" s="936">
        <f>0.2*F326</f>
        <v>18.5</v>
      </c>
      <c r="E369" s="933" t="s">
        <v>18</v>
      </c>
      <c r="F369" s="934"/>
      <c r="G369" s="933"/>
      <c r="H369" s="937"/>
      <c r="M369" s="9"/>
      <c r="N369" s="11"/>
      <c r="P369" s="11"/>
      <c r="Q369" s="928"/>
      <c r="R369" s="928"/>
    </row>
    <row r="370" spans="2:18" ht="19.899999999999999" customHeight="1">
      <c r="B370" s="934" t="s">
        <v>88</v>
      </c>
      <c r="C370" s="934" t="e">
        <f>+IF(D368&lt;=D369," ηeo &lt;0.2ho ","ηeo &gt; 0.2ho ")</f>
        <v>#REF!</v>
      </c>
      <c r="D370" s="931" t="s">
        <v>64</v>
      </c>
      <c r="E370" s="938" t="e">
        <f>+IF(D368&lt;=D369,"x' = h-(1.8+0.5h/ho-1.4αo)ηαo","x' = 1.8(eogh-ηeo)+αoho")</f>
        <v>#REF!</v>
      </c>
      <c r="F370" s="934"/>
      <c r="G370" s="933"/>
      <c r="H370" s="937"/>
      <c r="M370" s="822"/>
      <c r="N370" s="822"/>
      <c r="P370" s="11"/>
      <c r="Q370" s="928"/>
      <c r="R370" s="928"/>
    </row>
    <row r="371" spans="2:18" ht="19.899999999999999" customHeight="1">
      <c r="B371" s="934"/>
      <c r="C371" s="935" t="s">
        <v>89</v>
      </c>
      <c r="D371" s="939" t="e">
        <f>+IF(D368&lt;=D369,F323-(1.8+0.5*F323/F326-1.4*0.62)*E350*C335,1.8*(D367-D368)+0.62*F326)</f>
        <v>#REF!</v>
      </c>
      <c r="E371" s="933" t="s">
        <v>18</v>
      </c>
      <c r="F371" s="934"/>
      <c r="G371" s="933"/>
      <c r="H371" s="937"/>
      <c r="M371" s="915"/>
      <c r="N371" s="11"/>
      <c r="P371" s="11"/>
      <c r="Q371" s="928"/>
      <c r="R371" s="928"/>
    </row>
    <row r="372" spans="2:18" ht="19.899999999999999" customHeight="1">
      <c r="B372" s="934" t="s">
        <v>90</v>
      </c>
      <c r="C372" s="1590" t="s">
        <v>91</v>
      </c>
      <c r="D372" s="1591" t="s">
        <v>92</v>
      </c>
      <c r="E372" s="1591"/>
      <c r="F372" s="940"/>
      <c r="G372" s="933"/>
      <c r="H372" s="937"/>
      <c r="L372" s="1592"/>
      <c r="M372" s="1593"/>
      <c r="N372" s="1593"/>
      <c r="P372" s="11"/>
      <c r="Q372" s="928"/>
      <c r="R372" s="928"/>
    </row>
    <row r="373" spans="2:18" ht="19.899999999999999" customHeight="1">
      <c r="B373" s="934"/>
      <c r="C373" s="1590"/>
      <c r="D373" s="1594" t="s">
        <v>93</v>
      </c>
      <c r="E373" s="1594"/>
      <c r="F373" s="934"/>
      <c r="G373" s="933"/>
      <c r="H373" s="937"/>
      <c r="L373" s="1592"/>
      <c r="M373" s="1593"/>
      <c r="N373" s="1593"/>
      <c r="P373" s="11"/>
      <c r="Q373" s="928"/>
      <c r="R373" s="928"/>
    </row>
    <row r="374" spans="2:18" ht="19.899999999999999" customHeight="1">
      <c r="B374" s="934"/>
      <c r="C374" s="941" t="s">
        <v>91</v>
      </c>
      <c r="D374" s="942" t="e">
        <f>+(C322*1000*E353-E189*F322*D371*(F326-0.5*D371))/(D366*(F326-F325))</f>
        <v>#REF!</v>
      </c>
      <c r="E374" s="940" t="s">
        <v>20</v>
      </c>
      <c r="F374" s="933"/>
      <c r="G374" s="933"/>
      <c r="H374" s="933"/>
      <c r="J374" s="3"/>
      <c r="L374" s="401"/>
      <c r="M374" s="9"/>
      <c r="O374" s="11"/>
      <c r="P374" s="11"/>
      <c r="Q374" s="11"/>
      <c r="R374" s="11"/>
    </row>
    <row r="375" spans="2:18" ht="19.899999999999999" customHeight="1">
      <c r="B375" s="934"/>
      <c r="C375" s="931" t="s">
        <v>87</v>
      </c>
      <c r="D375" s="943" t="e">
        <f>+D374*2/(F322*F326)</f>
        <v>#REF!</v>
      </c>
      <c r="E375" s="944" t="s">
        <v>256</v>
      </c>
      <c r="F375" s="934"/>
      <c r="G375" s="945" t="s">
        <v>80</v>
      </c>
      <c r="H375" s="946" t="e">
        <f>+D375/2+D341/2</f>
        <v>#REF!</v>
      </c>
      <c r="J375" s="3"/>
      <c r="L375" s="921"/>
      <c r="M375" s="928"/>
      <c r="N375" s="929"/>
      <c r="P375" s="11"/>
      <c r="Q375" s="928"/>
      <c r="R375" s="928"/>
    </row>
    <row r="376" spans="2:18" ht="19.899999999999999" customHeight="1">
      <c r="B376" s="934"/>
      <c r="C376" s="931"/>
      <c r="D376" s="943"/>
      <c r="E376" s="944"/>
      <c r="F376" s="934"/>
      <c r="G376" s="945"/>
      <c r="H376" s="946"/>
      <c r="J376" s="3"/>
      <c r="L376" s="921"/>
      <c r="M376" s="928"/>
      <c r="N376" s="929"/>
      <c r="P376" s="11"/>
      <c r="Q376" s="928"/>
      <c r="R376" s="928"/>
    </row>
    <row r="377" spans="2:18" ht="19.899999999999999" customHeight="1">
      <c r="B377" s="934"/>
      <c r="C377" s="931"/>
      <c r="D377" s="943"/>
      <c r="E377" s="944"/>
      <c r="F377" s="934"/>
      <c r="G377" s="945"/>
      <c r="H377" s="946"/>
      <c r="J377" s="3"/>
      <c r="L377" s="921"/>
      <c r="M377" s="928"/>
      <c r="N377" s="929"/>
      <c r="P377" s="11"/>
      <c r="Q377" s="928"/>
      <c r="R377" s="928"/>
    </row>
    <row r="378" spans="2:18" ht="19.899999999999999" customHeight="1">
      <c r="B378" s="934"/>
      <c r="C378" s="931"/>
      <c r="D378" s="943"/>
      <c r="E378" s="944"/>
      <c r="F378" s="934"/>
      <c r="G378" s="945"/>
      <c r="H378" s="946"/>
      <c r="J378" s="3"/>
      <c r="L378" s="921"/>
      <c r="M378" s="928"/>
      <c r="N378" s="929"/>
      <c r="P378" s="11"/>
      <c r="Q378" s="928"/>
      <c r="R378" s="928"/>
    </row>
    <row r="379" spans="2:18" ht="19.899999999999999" customHeight="1">
      <c r="B379" s="934"/>
      <c r="C379" s="931"/>
      <c r="D379" s="943"/>
      <c r="E379" s="944"/>
      <c r="F379" s="934"/>
      <c r="G379" s="945"/>
      <c r="H379" s="946"/>
      <c r="J379" s="3"/>
      <c r="L379" s="921"/>
      <c r="M379" s="928"/>
      <c r="N379" s="929"/>
      <c r="P379" s="11"/>
      <c r="Q379" s="928"/>
      <c r="R379" s="928"/>
    </row>
    <row r="380" spans="2:18" ht="19.899999999999999" customHeight="1">
      <c r="B380" s="4" t="s">
        <v>259</v>
      </c>
      <c r="J380" s="888" t="e">
        <f>+ROUND(C382,2) &amp;" (T)"</f>
        <v>#REF!</v>
      </c>
    </row>
    <row r="381" spans="2:18" ht="19.899999999999999" customHeight="1">
      <c r="B381" s="1" t="s">
        <v>240</v>
      </c>
    </row>
    <row r="382" spans="2:18" ht="19.899999999999999" customHeight="1">
      <c r="B382" s="5" t="s">
        <v>77</v>
      </c>
      <c r="C382" s="100" t="e">
        <f>#REF!</f>
        <v>#REF!</v>
      </c>
      <c r="D382" s="1" t="s">
        <v>3</v>
      </c>
      <c r="E382" s="5"/>
      <c r="I382" s="3" t="e">
        <f>ROUND(I322,2)&amp;" (T)"</f>
        <v>#REF!</v>
      </c>
    </row>
    <row r="383" spans="2:18" ht="19.899999999999999" customHeight="1">
      <c r="B383" s="5" t="s">
        <v>78</v>
      </c>
      <c r="C383" s="1" t="e">
        <f>+#REF!</f>
        <v>#REF!</v>
      </c>
      <c r="D383" s="1" t="s">
        <v>3</v>
      </c>
      <c r="E383" s="5"/>
      <c r="J383" s="1595" t="e">
        <f>K323</f>
        <v>#REF!</v>
      </c>
    </row>
    <row r="384" spans="2:18" ht="19.899999999999999" customHeight="1">
      <c r="B384" s="1" t="s">
        <v>242</v>
      </c>
      <c r="E384" s="5"/>
      <c r="J384" s="1595"/>
    </row>
    <row r="385" spans="2:10" ht="19.899999999999999" customHeight="1">
      <c r="B385" s="5" t="s">
        <v>66</v>
      </c>
      <c r="C385" s="912" t="e">
        <f>+C383*F324/100</f>
        <v>#REF!</v>
      </c>
      <c r="D385" s="1" t="s">
        <v>4</v>
      </c>
      <c r="E385" s="5"/>
      <c r="J385" s="1595"/>
    </row>
    <row r="386" spans="2:10" ht="19.899999999999999" customHeight="1">
      <c r="B386" s="1" t="s">
        <v>260</v>
      </c>
      <c r="J386" s="1595"/>
    </row>
    <row r="387" spans="2:10" ht="19.899999999999999" customHeight="1">
      <c r="C387" s="5" t="s">
        <v>94</v>
      </c>
      <c r="D387" s="899" t="e">
        <f>+C385/C382*100</f>
        <v>#REF!</v>
      </c>
      <c r="E387" s="1" t="s">
        <v>18</v>
      </c>
      <c r="F387" s="2" t="s">
        <v>95</v>
      </c>
      <c r="J387" s="1595"/>
    </row>
    <row r="388" spans="2:10" ht="19.899999999999999" customHeight="1">
      <c r="C388" s="5" t="s">
        <v>96</v>
      </c>
      <c r="D388" s="1">
        <f>0.5*F323-F325</f>
        <v>42.5</v>
      </c>
      <c r="E388" s="1" t="s">
        <v>18</v>
      </c>
    </row>
    <row r="389" spans="2:10" ht="19.899999999999999" customHeight="1">
      <c r="C389" s="892" t="s">
        <v>64</v>
      </c>
      <c r="D389" s="1" t="e">
        <f>+IF(D387&lt;=D388,"eo &lt; 0.5h-a  Lệch tâm bé","eo &gt; ho-a  Lệch tâm lớn")</f>
        <v>#REF!</v>
      </c>
      <c r="J389" s="3" t="s">
        <v>495</v>
      </c>
    </row>
    <row r="390" spans="2:10" ht="19.899999999999999" customHeight="1">
      <c r="B390" s="382" t="s">
        <v>261</v>
      </c>
    </row>
    <row r="391" spans="2:10" ht="19.899999999999999" customHeight="1">
      <c r="B391" s="382"/>
      <c r="C391" s="5" t="s">
        <v>97</v>
      </c>
      <c r="D391" s="899" t="e">
        <f>0.5*F323-D387-F325</f>
        <v>#REF!</v>
      </c>
      <c r="E391" s="1" t="s">
        <v>18</v>
      </c>
      <c r="F391" s="1" t="s">
        <v>104</v>
      </c>
    </row>
    <row r="392" spans="2:10" ht="19.899999999999999" customHeight="1">
      <c r="B392" s="382"/>
      <c r="C392" s="5" t="s">
        <v>98</v>
      </c>
      <c r="D392" s="899" t="e">
        <f>0.5*F323+D387-F325</f>
        <v>#REF!</v>
      </c>
      <c r="E392" s="1" t="s">
        <v>18</v>
      </c>
      <c r="F392" s="1" t="s">
        <v>105</v>
      </c>
    </row>
    <row r="393" spans="2:10" ht="19.899999999999999" customHeight="1">
      <c r="B393" s="1" t="s">
        <v>258</v>
      </c>
      <c r="D393" s="1" t="str">
        <f>+D365</f>
        <v>AIII</v>
      </c>
      <c r="E393" s="100"/>
    </row>
    <row r="394" spans="2:10" ht="19.899999999999999" customHeight="1">
      <c r="B394" s="1" t="s">
        <v>223</v>
      </c>
      <c r="D394" s="1">
        <f>IF(D393="AI",2250,IF(D393="AII",2800,IF(D393="AIII",3650,"Nhoùm coát theùp")))</f>
        <v>3650</v>
      </c>
      <c r="E394" s="100" t="s">
        <v>65</v>
      </c>
    </row>
    <row r="395" spans="2:10" ht="19.899999999999999" customHeight="1">
      <c r="B395" s="382"/>
      <c r="C395" s="1596" t="s">
        <v>99</v>
      </c>
      <c r="D395" s="777" t="s">
        <v>100</v>
      </c>
      <c r="E395" s="1597" t="s">
        <v>6</v>
      </c>
      <c r="F395" s="1598" t="e">
        <f>+C382*1000*D391/(D394*(F326-F325))</f>
        <v>#REF!</v>
      </c>
      <c r="G395" s="1592" t="s">
        <v>20</v>
      </c>
      <c r="H395" s="1592"/>
    </row>
    <row r="396" spans="2:10" ht="19.899999999999999" customHeight="1">
      <c r="C396" s="1596"/>
      <c r="D396" s="3" t="s">
        <v>93</v>
      </c>
      <c r="E396" s="1597"/>
      <c r="F396" s="1598"/>
      <c r="G396" s="1592"/>
      <c r="H396" s="1592"/>
    </row>
    <row r="397" spans="2:10" ht="19.899999999999999" customHeight="1">
      <c r="C397" s="1596" t="s">
        <v>101</v>
      </c>
      <c r="D397" s="777" t="s">
        <v>102</v>
      </c>
      <c r="E397" s="1597" t="s">
        <v>6</v>
      </c>
      <c r="F397" s="1598" t="e">
        <f>+C382*1000*D392/(D394*(F326-F325))*1.05</f>
        <v>#REF!</v>
      </c>
      <c r="G397" s="1592" t="s">
        <v>20</v>
      </c>
      <c r="H397" s="401"/>
    </row>
    <row r="398" spans="2:10" ht="19.899999999999999" customHeight="1">
      <c r="C398" s="1596"/>
      <c r="D398" s="3" t="s">
        <v>103</v>
      </c>
      <c r="E398" s="1597"/>
      <c r="F398" s="1598"/>
      <c r="G398" s="1592"/>
      <c r="H398" s="401"/>
    </row>
    <row r="399" spans="2:10" ht="19.899999999999999" customHeight="1">
      <c r="B399" s="947" t="s">
        <v>264</v>
      </c>
      <c r="C399" s="948"/>
      <c r="D399" s="949"/>
      <c r="E399" s="950"/>
      <c r="F399" s="950"/>
      <c r="G399" s="951"/>
      <c r="H399" s="951"/>
    </row>
    <row r="400" spans="2:10" ht="19.899999999999999" customHeight="1">
      <c r="B400" s="947"/>
      <c r="C400" s="948" t="s">
        <v>97</v>
      </c>
      <c r="D400" s="952" t="e">
        <f>+D387-0.5*F323+F325</f>
        <v>#REF!</v>
      </c>
      <c r="E400" s="951" t="s">
        <v>18</v>
      </c>
      <c r="F400" s="953" t="s">
        <v>106</v>
      </c>
      <c r="G400" s="951"/>
      <c r="H400" s="951"/>
    </row>
    <row r="401" spans="1:22" ht="19.899999999999999" customHeight="1">
      <c r="B401" s="953"/>
      <c r="C401" s="954" t="s">
        <v>98</v>
      </c>
      <c r="D401" s="955" t="e">
        <f>+D387+0.5*F326-F325</f>
        <v>#REF!</v>
      </c>
      <c r="E401" s="951" t="s">
        <v>18</v>
      </c>
      <c r="F401" s="953" t="s">
        <v>108</v>
      </c>
      <c r="G401" s="953"/>
      <c r="H401" s="951"/>
    </row>
    <row r="402" spans="1:22" ht="19.899999999999999" customHeight="1">
      <c r="B402" s="953" t="s">
        <v>258</v>
      </c>
      <c r="C402" s="953"/>
      <c r="D402" s="953" t="str">
        <f>+D294</f>
        <v>AIII</v>
      </c>
      <c r="E402" s="953"/>
      <c r="F402" s="953"/>
      <c r="G402" s="953"/>
      <c r="H402" s="951"/>
    </row>
    <row r="403" spans="1:22" ht="19.899999999999999" customHeight="1">
      <c r="B403" s="953" t="s">
        <v>223</v>
      </c>
      <c r="C403" s="953"/>
      <c r="D403" s="1">
        <f>IF(D402="AI",2250,IF(D402="AII",2800,IF(D402="AIII",3650,"Nhoùm coát theùp")))</f>
        <v>3650</v>
      </c>
      <c r="E403" s="956" t="s">
        <v>65</v>
      </c>
      <c r="F403" s="953"/>
      <c r="G403" s="953"/>
      <c r="H403" s="951"/>
    </row>
    <row r="404" spans="1:22" ht="19.899999999999999" customHeight="1">
      <c r="B404" s="953"/>
      <c r="C404" s="1599" t="s">
        <v>107</v>
      </c>
      <c r="D404" s="957" t="s">
        <v>102</v>
      </c>
      <c r="E404" s="1599" t="s">
        <v>6</v>
      </c>
      <c r="F404" s="1600" t="e">
        <f>+C382*1000*D401/(D403*(F326-F325))</f>
        <v>#REF!</v>
      </c>
      <c r="G404" s="1599" t="s">
        <v>20</v>
      </c>
      <c r="H404" s="951"/>
    </row>
    <row r="405" spans="1:22" ht="19.899999999999999" customHeight="1">
      <c r="B405" s="953"/>
      <c r="C405" s="1599"/>
      <c r="D405" s="949" t="s">
        <v>109</v>
      </c>
      <c r="E405" s="1599"/>
      <c r="F405" s="1601"/>
      <c r="G405" s="1599"/>
      <c r="H405" s="951"/>
    </row>
    <row r="406" spans="1:22" ht="19.899999999999999" customHeight="1">
      <c r="B406" s="1" t="s">
        <v>237</v>
      </c>
      <c r="C406" s="8" t="str">
        <f>"08"&amp;"Ø"&amp;20&amp;D402</f>
        <v>08Ø20AIII</v>
      </c>
      <c r="D406" s="822" t="s">
        <v>496</v>
      </c>
      <c r="E406" s="9" t="str">
        <f>+ROUND(LEFT(C406,2)*VLOOKUP(VALUE(MID(C406,4,2)),$P$21:$S$41,4,0),2)&amp;"  cm²"</f>
        <v>25.12  cm²</v>
      </c>
    </row>
    <row r="407" spans="1:22" ht="19.899999999999999" customHeight="1">
      <c r="A407" s="889" t="s">
        <v>471</v>
      </c>
    </row>
    <row r="408" spans="1:22" ht="19.899999999999999" customHeight="1">
      <c r="B408" s="1" t="s">
        <v>262</v>
      </c>
      <c r="C408" s="100" t="e">
        <f>+C323</f>
        <v>#REF!</v>
      </c>
      <c r="D408" s="1" t="s">
        <v>3</v>
      </c>
    </row>
    <row r="409" spans="1:22" ht="19.899999999999999" customHeight="1">
      <c r="B409" s="1" t="s">
        <v>263</v>
      </c>
    </row>
    <row r="410" spans="1:22" ht="19.899999999999999" customHeight="1">
      <c r="B410" s="5" t="s">
        <v>199</v>
      </c>
      <c r="C410" s="100">
        <f>0.6*E190*F322*F326/1000</f>
        <v>41.625</v>
      </c>
      <c r="D410" s="1" t="s">
        <v>3</v>
      </c>
    </row>
    <row r="411" spans="1:22" ht="19.899999999999999" customHeight="1">
      <c r="B411" s="892" t="s">
        <v>64</v>
      </c>
      <c r="C411" s="1" t="e">
        <f>+IF(C410&gt;C408, "Qc &gt; Q  ==&gt; Bêtông đủ khả năng chịu cắt","Qc &lt; Q ==&gt; Tính cốt đai")</f>
        <v>#REF!</v>
      </c>
    </row>
    <row r="412" spans="1:22" ht="19.899999999999999" customHeight="1">
      <c r="C412" s="1" t="e">
        <f>+IF(C410&gt;C408," Chỉ đặt cốt đai theo cấu tạo","Tính cột đai")</f>
        <v>#REF!</v>
      </c>
    </row>
    <row r="414" spans="1:22" ht="19.899999999999999" customHeight="1">
      <c r="I414" s="390"/>
    </row>
    <row r="415" spans="1:22" ht="19.899999999999999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7"/>
      <c r="L415" s="25"/>
      <c r="M415" s="17"/>
      <c r="N415" s="17"/>
      <c r="O415" s="17"/>
      <c r="P415" s="17"/>
      <c r="Q415" s="17"/>
      <c r="R415" s="17"/>
      <c r="S415" s="17"/>
      <c r="T415" s="17"/>
      <c r="U415" s="17"/>
      <c r="V415" s="17"/>
    </row>
    <row r="416" spans="1:22" ht="19.899999999999999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7"/>
      <c r="L416" s="25"/>
      <c r="M416" s="17"/>
      <c r="N416" s="17"/>
      <c r="O416" s="17"/>
      <c r="P416" s="17"/>
      <c r="Q416" s="17"/>
      <c r="R416" s="17"/>
      <c r="S416" s="17"/>
      <c r="T416" s="17"/>
      <c r="U416" s="17"/>
      <c r="V416" s="17"/>
    </row>
    <row r="417" spans="1:22" ht="19.899999999999999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7"/>
      <c r="L417" s="25"/>
      <c r="M417" s="17"/>
      <c r="N417" s="17"/>
      <c r="O417" s="17"/>
      <c r="P417" s="17"/>
      <c r="Q417" s="17"/>
      <c r="R417" s="17"/>
      <c r="S417" s="17"/>
      <c r="T417" s="17"/>
      <c r="U417" s="17"/>
      <c r="V417" s="17"/>
    </row>
    <row r="418" spans="1:22" ht="19.899999999999999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7"/>
      <c r="L418" s="25"/>
      <c r="M418" s="17"/>
      <c r="N418" s="17"/>
      <c r="O418" s="17"/>
      <c r="P418" s="17"/>
      <c r="Q418" s="17"/>
      <c r="R418" s="17"/>
      <c r="S418" s="17"/>
      <c r="T418" s="17"/>
      <c r="U418" s="17"/>
      <c r="V418" s="17"/>
    </row>
    <row r="419" spans="1:22" ht="19.899999999999999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7"/>
      <c r="L419" s="25"/>
      <c r="M419" s="17"/>
      <c r="N419" s="17"/>
      <c r="O419" s="17"/>
      <c r="P419" s="17"/>
      <c r="Q419" s="17"/>
      <c r="R419" s="17"/>
      <c r="S419" s="17"/>
      <c r="T419" s="17"/>
      <c r="U419" s="17"/>
      <c r="V419" s="17"/>
    </row>
    <row r="420" spans="1:22" ht="19.899999999999999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7"/>
      <c r="L420" s="25"/>
      <c r="M420" s="17"/>
      <c r="N420" s="17"/>
      <c r="O420" s="17"/>
      <c r="P420" s="17"/>
      <c r="Q420" s="17"/>
      <c r="R420" s="17"/>
      <c r="S420" s="17"/>
      <c r="T420" s="17"/>
      <c r="U420" s="17"/>
      <c r="V420" s="17"/>
    </row>
    <row r="421" spans="1:22" ht="19.899999999999999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7"/>
      <c r="L421" s="25"/>
      <c r="M421" s="17"/>
      <c r="N421" s="17"/>
      <c r="O421" s="17"/>
      <c r="P421" s="17"/>
      <c r="Q421" s="17"/>
      <c r="R421" s="17"/>
      <c r="S421" s="17"/>
      <c r="T421" s="17"/>
      <c r="U421" s="17"/>
      <c r="V421" s="17"/>
    </row>
    <row r="422" spans="1:22" ht="19.899999999999999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7"/>
      <c r="L422" s="25"/>
      <c r="M422" s="17"/>
      <c r="N422" s="17"/>
      <c r="O422" s="17"/>
      <c r="P422" s="17"/>
      <c r="Q422" s="17"/>
      <c r="R422" s="17"/>
      <c r="S422" s="17"/>
      <c r="T422" s="17"/>
      <c r="U422" s="17"/>
      <c r="V422" s="17"/>
    </row>
    <row r="423" spans="1:22" ht="19.899999999999999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7"/>
      <c r="L423" s="25"/>
      <c r="M423" s="17"/>
      <c r="N423" s="17"/>
      <c r="O423" s="17"/>
      <c r="P423" s="17"/>
      <c r="Q423" s="17"/>
      <c r="R423" s="17"/>
      <c r="S423" s="17"/>
      <c r="T423" s="17"/>
      <c r="U423" s="17"/>
      <c r="V423" s="17"/>
    </row>
    <row r="424" spans="1:22" ht="19.899999999999999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7"/>
      <c r="L424" s="25"/>
      <c r="M424" s="17"/>
      <c r="N424" s="17"/>
      <c r="O424" s="17"/>
      <c r="P424" s="17"/>
      <c r="Q424" s="17"/>
      <c r="R424" s="17"/>
      <c r="S424" s="17"/>
      <c r="T424" s="17"/>
      <c r="U424" s="17"/>
      <c r="V424" s="17"/>
    </row>
    <row r="425" spans="1:22" ht="19.899999999999999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7"/>
      <c r="L425" s="25"/>
      <c r="M425" s="17"/>
      <c r="N425" s="17"/>
      <c r="O425" s="17"/>
      <c r="P425" s="17"/>
      <c r="Q425" s="17"/>
      <c r="R425" s="17"/>
      <c r="S425" s="17"/>
      <c r="T425" s="17"/>
      <c r="U425" s="17"/>
      <c r="V425" s="17"/>
    </row>
    <row r="426" spans="1:22" ht="19.899999999999999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7"/>
      <c r="L426" s="25"/>
      <c r="M426" s="17"/>
      <c r="N426" s="17"/>
      <c r="O426" s="17"/>
      <c r="P426" s="17"/>
      <c r="Q426" s="17"/>
      <c r="R426" s="17"/>
      <c r="S426" s="17"/>
      <c r="T426" s="17"/>
      <c r="U426" s="17"/>
      <c r="V426" s="17"/>
    </row>
    <row r="427" spans="1:22" ht="19.899999999999999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7"/>
      <c r="L427" s="25"/>
      <c r="M427" s="17"/>
      <c r="N427" s="17"/>
      <c r="O427" s="17"/>
      <c r="P427" s="17"/>
      <c r="Q427" s="17"/>
      <c r="R427" s="17"/>
      <c r="S427" s="17"/>
      <c r="T427" s="17"/>
      <c r="U427" s="17"/>
      <c r="V427" s="17"/>
    </row>
    <row r="428" spans="1:22" ht="19.899999999999999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7"/>
      <c r="L428" s="25"/>
      <c r="M428" s="17"/>
      <c r="N428" s="17"/>
      <c r="O428" s="17"/>
      <c r="P428" s="17"/>
      <c r="Q428" s="17"/>
      <c r="R428" s="17"/>
      <c r="S428" s="17"/>
      <c r="T428" s="17"/>
      <c r="U428" s="17"/>
      <c r="V428" s="17"/>
    </row>
    <row r="429" spans="1:22" ht="19.899999999999999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7"/>
      <c r="L429" s="25"/>
      <c r="M429" s="17"/>
      <c r="N429" s="17"/>
      <c r="O429" s="17"/>
      <c r="P429" s="17"/>
      <c r="Q429" s="17"/>
      <c r="R429" s="17"/>
      <c r="S429" s="17"/>
      <c r="T429" s="17"/>
      <c r="U429" s="17"/>
      <c r="V429" s="17"/>
    </row>
    <row r="430" spans="1:22" ht="19.899999999999999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7"/>
      <c r="L430" s="25"/>
      <c r="M430" s="17"/>
      <c r="N430" s="17"/>
      <c r="O430" s="17"/>
      <c r="P430" s="17"/>
      <c r="Q430" s="17"/>
      <c r="R430" s="17"/>
      <c r="S430" s="17"/>
      <c r="T430" s="17"/>
      <c r="U430" s="17"/>
      <c r="V430" s="17"/>
    </row>
    <row r="431" spans="1:22" ht="19.899999999999999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7"/>
      <c r="L431" s="25"/>
      <c r="M431" s="17"/>
      <c r="N431" s="17"/>
      <c r="O431" s="17"/>
      <c r="P431" s="17"/>
      <c r="Q431" s="17"/>
      <c r="R431" s="17"/>
      <c r="S431" s="17"/>
      <c r="T431" s="17"/>
      <c r="U431" s="17"/>
      <c r="V431" s="17"/>
    </row>
    <row r="432" spans="1:22" ht="19.899999999999999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7"/>
      <c r="L432" s="25"/>
      <c r="M432" s="17"/>
      <c r="N432" s="17"/>
      <c r="O432" s="17"/>
      <c r="P432" s="17"/>
      <c r="Q432" s="17"/>
      <c r="R432" s="17"/>
      <c r="S432" s="17"/>
      <c r="T432" s="17"/>
      <c r="U432" s="17"/>
      <c r="V432" s="17"/>
    </row>
    <row r="433" spans="1:22" ht="19.899999999999999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7"/>
      <c r="L433" s="25"/>
      <c r="M433" s="17"/>
      <c r="N433" s="17"/>
      <c r="O433" s="17"/>
      <c r="P433" s="17"/>
      <c r="Q433" s="17"/>
      <c r="R433" s="17"/>
      <c r="S433" s="17"/>
      <c r="T433" s="17"/>
      <c r="U433" s="17"/>
      <c r="V433" s="17"/>
    </row>
    <row r="434" spans="1:22" ht="19.899999999999999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7"/>
      <c r="L434" s="25"/>
      <c r="M434" s="17"/>
      <c r="N434" s="17"/>
      <c r="O434" s="17"/>
      <c r="P434" s="17"/>
      <c r="Q434" s="17"/>
      <c r="R434" s="17"/>
      <c r="S434" s="17"/>
      <c r="T434" s="17"/>
      <c r="U434" s="17"/>
      <c r="V434" s="17"/>
    </row>
    <row r="435" spans="1:22" ht="19.899999999999999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7"/>
      <c r="L435" s="25"/>
      <c r="M435" s="17"/>
      <c r="N435" s="17"/>
      <c r="O435" s="17"/>
      <c r="P435" s="17"/>
      <c r="Q435" s="17"/>
      <c r="R435" s="17"/>
      <c r="S435" s="17"/>
      <c r="T435" s="17"/>
      <c r="U435" s="17"/>
      <c r="V435" s="17"/>
    </row>
    <row r="436" spans="1:22" ht="19.899999999999999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7"/>
      <c r="L436" s="25"/>
      <c r="M436" s="17"/>
      <c r="N436" s="17"/>
      <c r="O436" s="17"/>
      <c r="P436" s="17"/>
      <c r="Q436" s="17"/>
      <c r="R436" s="17"/>
      <c r="S436" s="17"/>
      <c r="T436" s="17"/>
      <c r="U436" s="17"/>
      <c r="V436" s="17"/>
    </row>
    <row r="437" spans="1:22" ht="19.899999999999999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7"/>
      <c r="L437" s="25"/>
      <c r="M437" s="17"/>
      <c r="N437" s="17"/>
      <c r="O437" s="17"/>
      <c r="P437" s="17"/>
      <c r="Q437" s="17"/>
      <c r="R437" s="17"/>
      <c r="S437" s="17"/>
      <c r="T437" s="17"/>
      <c r="U437" s="17"/>
      <c r="V437" s="17"/>
    </row>
    <row r="438" spans="1:22" ht="19.899999999999999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7"/>
      <c r="L438" s="25"/>
      <c r="M438" s="17"/>
      <c r="N438" s="17"/>
      <c r="O438" s="17"/>
      <c r="P438" s="17"/>
      <c r="Q438" s="17"/>
      <c r="R438" s="17"/>
      <c r="S438" s="17"/>
      <c r="T438" s="17"/>
      <c r="U438" s="17"/>
      <c r="V438" s="17"/>
    </row>
    <row r="439" spans="1:22" ht="19.899999999999999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7"/>
      <c r="L439" s="25"/>
      <c r="M439" s="17"/>
      <c r="N439" s="17"/>
      <c r="O439" s="17"/>
      <c r="P439" s="17"/>
      <c r="Q439" s="17"/>
      <c r="R439" s="17"/>
      <c r="S439" s="17"/>
      <c r="T439" s="17"/>
      <c r="U439" s="17"/>
      <c r="V439" s="17"/>
    </row>
    <row r="440" spans="1:22" ht="19.899999999999999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7"/>
      <c r="L440" s="25"/>
      <c r="M440" s="17"/>
      <c r="N440" s="17"/>
      <c r="O440" s="17"/>
      <c r="P440" s="17"/>
      <c r="Q440" s="17"/>
      <c r="R440" s="17"/>
      <c r="S440" s="17"/>
      <c r="T440" s="17"/>
      <c r="U440" s="17"/>
      <c r="V440" s="17"/>
    </row>
    <row r="441" spans="1:22" ht="19.899999999999999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7"/>
      <c r="L441" s="25"/>
      <c r="M441" s="17"/>
      <c r="N441" s="17"/>
      <c r="O441" s="17"/>
      <c r="P441" s="17"/>
      <c r="Q441" s="17"/>
      <c r="R441" s="17"/>
      <c r="S441" s="17"/>
      <c r="T441" s="17"/>
      <c r="U441" s="17"/>
      <c r="V441" s="17"/>
    </row>
    <row r="442" spans="1:22" ht="19.899999999999999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7"/>
      <c r="L442" s="25"/>
      <c r="M442" s="17"/>
      <c r="N442" s="17"/>
      <c r="O442" s="17"/>
      <c r="P442" s="17"/>
      <c r="Q442" s="17"/>
      <c r="R442" s="17"/>
      <c r="S442" s="17"/>
      <c r="T442" s="17"/>
      <c r="U442" s="17"/>
      <c r="V442" s="17"/>
    </row>
    <row r="443" spans="1:22" ht="19.899999999999999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7"/>
      <c r="L443" s="25"/>
      <c r="M443" s="17"/>
      <c r="N443" s="17"/>
      <c r="O443" s="17"/>
      <c r="P443" s="17"/>
      <c r="Q443" s="17"/>
      <c r="R443" s="17"/>
      <c r="S443" s="17"/>
      <c r="T443" s="17"/>
      <c r="U443" s="17"/>
      <c r="V443" s="17"/>
    </row>
    <row r="444" spans="1:22" ht="19.899999999999999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7"/>
      <c r="L444" s="25"/>
      <c r="M444" s="17"/>
      <c r="N444" s="17"/>
      <c r="O444" s="17"/>
      <c r="P444" s="17"/>
      <c r="Q444" s="17"/>
      <c r="R444" s="17"/>
      <c r="S444" s="17"/>
      <c r="T444" s="17"/>
      <c r="U444" s="17"/>
      <c r="V444" s="17"/>
    </row>
    <row r="445" spans="1:22" ht="19.899999999999999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7"/>
      <c r="L445" s="25"/>
      <c r="M445" s="17"/>
      <c r="N445" s="17"/>
      <c r="O445" s="17"/>
      <c r="P445" s="17"/>
      <c r="Q445" s="17"/>
      <c r="R445" s="17"/>
      <c r="S445" s="17"/>
      <c r="T445" s="17"/>
      <c r="U445" s="17"/>
      <c r="V445" s="17"/>
    </row>
    <row r="446" spans="1:22" ht="19.899999999999999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7"/>
      <c r="L446" s="25"/>
      <c r="M446" s="17"/>
      <c r="N446" s="17"/>
      <c r="O446" s="17"/>
      <c r="P446" s="17"/>
      <c r="Q446" s="17"/>
      <c r="R446" s="17"/>
      <c r="S446" s="17"/>
      <c r="T446" s="17"/>
      <c r="U446" s="17"/>
      <c r="V446" s="17"/>
    </row>
    <row r="447" spans="1:22" ht="19.899999999999999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7"/>
      <c r="L447" s="25"/>
      <c r="M447" s="17"/>
      <c r="N447" s="17"/>
      <c r="O447" s="17"/>
      <c r="P447" s="17"/>
      <c r="Q447" s="17"/>
      <c r="R447" s="17"/>
      <c r="S447" s="17"/>
      <c r="T447" s="17"/>
      <c r="U447" s="17"/>
      <c r="V447" s="17"/>
    </row>
    <row r="448" spans="1:22" ht="19.899999999999999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7"/>
      <c r="L448" s="25"/>
      <c r="M448" s="17"/>
      <c r="N448" s="17"/>
      <c r="O448" s="17"/>
      <c r="P448" s="17"/>
      <c r="Q448" s="17"/>
      <c r="R448" s="17"/>
      <c r="S448" s="17"/>
      <c r="T448" s="17"/>
      <c r="U448" s="17"/>
      <c r="V448" s="17"/>
    </row>
    <row r="449" spans="1:41" ht="19.899999999999999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7"/>
      <c r="L449" s="25"/>
      <c r="M449" s="17"/>
      <c r="N449" s="17"/>
      <c r="O449" s="17"/>
      <c r="P449" s="17"/>
      <c r="Q449" s="17"/>
      <c r="R449" s="17"/>
      <c r="S449" s="17"/>
      <c r="T449" s="17"/>
      <c r="U449" s="17"/>
      <c r="V449" s="17"/>
    </row>
    <row r="450" spans="1:41" ht="19.899999999999999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7"/>
      <c r="L450" s="25"/>
      <c r="M450" s="17"/>
      <c r="N450" s="17"/>
      <c r="O450" s="17"/>
      <c r="P450" s="17"/>
      <c r="Q450" s="17"/>
      <c r="R450" s="17"/>
      <c r="S450" s="17"/>
      <c r="T450" s="17"/>
      <c r="U450" s="17"/>
      <c r="V450" s="17"/>
    </row>
    <row r="451" spans="1:41" ht="19.899999999999999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7"/>
      <c r="L451" s="25"/>
      <c r="M451" s="17"/>
      <c r="N451" s="17"/>
      <c r="O451" s="17"/>
      <c r="P451" s="17"/>
      <c r="Q451" s="17"/>
      <c r="R451" s="17"/>
      <c r="S451" s="17"/>
      <c r="T451" s="17"/>
      <c r="U451" s="17"/>
      <c r="V451" s="17"/>
    </row>
    <row r="452" spans="1:41" ht="19.899999999999999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7"/>
      <c r="L452" s="25"/>
      <c r="M452" s="17"/>
      <c r="N452" s="17"/>
      <c r="O452" s="17"/>
      <c r="P452" s="17"/>
      <c r="Q452" s="17"/>
      <c r="R452" s="17"/>
      <c r="S452" s="17"/>
      <c r="T452" s="17"/>
      <c r="U452" s="17"/>
      <c r="V452" s="17"/>
    </row>
    <row r="453" spans="1:41" ht="19.899999999999999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7"/>
      <c r="L453" s="25"/>
      <c r="M453" s="17"/>
      <c r="N453" s="17"/>
      <c r="O453" s="17"/>
      <c r="P453" s="17"/>
      <c r="Q453" s="17"/>
      <c r="R453" s="17"/>
      <c r="S453" s="17"/>
      <c r="T453" s="17"/>
      <c r="U453" s="17"/>
      <c r="V453" s="17"/>
    </row>
    <row r="454" spans="1:41" ht="19.899999999999999" customHeight="1" thickBo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7"/>
      <c r="L454" s="25"/>
      <c r="M454" s="17"/>
      <c r="N454" s="17"/>
      <c r="O454" s="17"/>
      <c r="P454" s="17"/>
      <c r="Q454" s="17"/>
      <c r="R454" s="17"/>
      <c r="S454" s="17"/>
      <c r="T454" s="17"/>
      <c r="U454" s="17"/>
      <c r="V454" s="17"/>
    </row>
    <row r="455" spans="1:41" ht="19.899999999999999" customHeight="1" thickBo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7"/>
      <c r="M455" s="62"/>
      <c r="N455" s="958"/>
      <c r="O455" s="41"/>
      <c r="P455" s="41"/>
      <c r="Q455" s="41"/>
      <c r="R455" s="41"/>
      <c r="S455" s="41"/>
      <c r="T455" s="41"/>
      <c r="U455" s="41"/>
      <c r="V455" s="41"/>
      <c r="W455" s="959" t="s">
        <v>408</v>
      </c>
      <c r="X455" s="959" t="s">
        <v>409</v>
      </c>
      <c r="Y455" s="960" t="s">
        <v>289</v>
      </c>
      <c r="Z455" s="960" t="s">
        <v>410</v>
      </c>
      <c r="AA455" s="1602" t="s">
        <v>411</v>
      </c>
      <c r="AB455" s="1603"/>
      <c r="AC455" s="1604"/>
      <c r="AD455" s="63"/>
      <c r="AE455" s="41"/>
      <c r="AF455" s="41"/>
      <c r="AG455" s="64"/>
      <c r="AH455" s="17"/>
      <c r="AI455" s="13"/>
      <c r="AJ455" s="13"/>
      <c r="AK455" s="13"/>
      <c r="AL455" s="13"/>
      <c r="AM455" s="13"/>
      <c r="AN455" s="13"/>
      <c r="AO455" s="13"/>
    </row>
    <row r="456" spans="1:41" ht="19.899999999999999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7"/>
      <c r="M456" s="65"/>
      <c r="N456" s="961"/>
      <c r="O456" s="17"/>
      <c r="P456" s="962"/>
      <c r="Q456" s="17"/>
      <c r="R456" s="17"/>
      <c r="S456" s="963" t="s">
        <v>422</v>
      </c>
      <c r="T456" s="964"/>
      <c r="U456" s="17"/>
      <c r="V456" s="17"/>
      <c r="W456" s="965"/>
      <c r="X456" s="965"/>
      <c r="Y456" s="966"/>
      <c r="Z456" s="967"/>
      <c r="AA456" s="967" t="s">
        <v>412</v>
      </c>
      <c r="AB456" s="967" t="s">
        <v>413</v>
      </c>
      <c r="AC456" s="967" t="s">
        <v>414</v>
      </c>
      <c r="AE456" s="17"/>
      <c r="AF456" s="17"/>
      <c r="AG456" s="31"/>
      <c r="AH456" s="17"/>
      <c r="AI456" s="13"/>
      <c r="AJ456" s="13"/>
      <c r="AK456" s="13"/>
      <c r="AL456" s="13"/>
      <c r="AM456" s="13"/>
      <c r="AN456" s="13"/>
      <c r="AO456" s="13"/>
    </row>
    <row r="457" spans="1:41" ht="19.899999999999999" customHeight="1" thickBo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7"/>
      <c r="M457" s="65"/>
      <c r="N457" s="961" t="s">
        <v>287</v>
      </c>
      <c r="O457" s="17"/>
      <c r="P457" s="968" t="str">
        <f>+O459&amp;" - "&amp;O460&amp;" x "&amp;Q460</f>
        <v>2.6 - 5 x 6</v>
      </c>
      <c r="Q457" s="17"/>
      <c r="R457" s="969"/>
      <c r="S457" s="970">
        <f>+D236</f>
        <v>200</v>
      </c>
      <c r="T457" s="971">
        <f>+D264</f>
        <v>200</v>
      </c>
      <c r="U457" s="17"/>
      <c r="V457" s="17"/>
      <c r="W457" s="965">
        <v>160</v>
      </c>
      <c r="X457" s="965">
        <v>140</v>
      </c>
      <c r="Y457" s="972" t="s">
        <v>415</v>
      </c>
      <c r="Z457" s="973">
        <v>21.43</v>
      </c>
      <c r="AA457" s="973">
        <f t="shared" ref="AA457:AA463" si="23">Z457*8</f>
        <v>171.44</v>
      </c>
      <c r="AB457" s="973">
        <f>+AA457*2</f>
        <v>342.88</v>
      </c>
      <c r="AC457" s="973">
        <f>AA457*3</f>
        <v>514.31999999999994</v>
      </c>
      <c r="AE457" s="17"/>
      <c r="AF457" s="17"/>
      <c r="AG457" s="31"/>
      <c r="AH457" s="17"/>
      <c r="AI457" s="13"/>
      <c r="AJ457" s="13"/>
      <c r="AK457" s="13"/>
      <c r="AL457" s="13"/>
      <c r="AM457" s="13"/>
      <c r="AN457" s="13"/>
      <c r="AO457" s="13"/>
    </row>
    <row r="458" spans="1:41" ht="19.899999999999999" customHeight="1" thickBo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7"/>
      <c r="M458" s="65"/>
      <c r="N458" s="17"/>
      <c r="O458" s="17"/>
      <c r="P458" s="17"/>
      <c r="Q458" s="17"/>
      <c r="R458" s="17"/>
      <c r="S458" s="17"/>
      <c r="T458" s="17"/>
      <c r="U458" s="17"/>
      <c r="V458" s="17"/>
      <c r="W458" s="965"/>
      <c r="X458" s="965"/>
      <c r="Y458" s="972" t="s">
        <v>416</v>
      </c>
      <c r="Z458" s="973">
        <v>21.65</v>
      </c>
      <c r="AA458" s="973">
        <f>Z458*4</f>
        <v>86.6</v>
      </c>
      <c r="AB458" s="973">
        <f t="shared" ref="AB458:AB467" si="24">+AA458*2</f>
        <v>173.2</v>
      </c>
      <c r="AC458" s="973">
        <f t="shared" ref="AC458:AC467" si="25">AA458*3</f>
        <v>259.79999999999995</v>
      </c>
      <c r="AE458" s="17"/>
      <c r="AF458" s="17"/>
      <c r="AG458" s="31"/>
      <c r="AH458" s="17"/>
      <c r="AI458" s="13"/>
      <c r="AJ458" s="13"/>
      <c r="AK458" s="13"/>
      <c r="AL458" s="13"/>
      <c r="AM458" s="13"/>
      <c r="AN458" s="13"/>
      <c r="AO458" s="13"/>
    </row>
    <row r="459" spans="1:41" ht="19.899999999999999" customHeight="1" thickBo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7"/>
      <c r="M459" s="65"/>
      <c r="N459" s="1605" t="s">
        <v>288</v>
      </c>
      <c r="O459" s="974">
        <f>+K7</f>
        <v>2.6</v>
      </c>
      <c r="P459" s="975" t="s">
        <v>34</v>
      </c>
      <c r="Q459" s="976">
        <f>+O459</f>
        <v>2.6</v>
      </c>
      <c r="R459" s="64" t="s">
        <v>0</v>
      </c>
      <c r="S459" s="17"/>
      <c r="T459" s="30" t="s">
        <v>289</v>
      </c>
      <c r="U459" s="30" t="s">
        <v>290</v>
      </c>
      <c r="V459" s="17"/>
      <c r="W459" s="965">
        <v>180</v>
      </c>
      <c r="X459" s="965">
        <v>160</v>
      </c>
      <c r="Y459" s="972" t="s">
        <v>417</v>
      </c>
      <c r="Z459" s="973">
        <v>30.44</v>
      </c>
      <c r="AA459" s="973">
        <f t="shared" si="23"/>
        <v>243.52</v>
      </c>
      <c r="AB459" s="973">
        <f t="shared" si="24"/>
        <v>487.04</v>
      </c>
      <c r="AC459" s="973">
        <f t="shared" si="25"/>
        <v>730.56000000000006</v>
      </c>
      <c r="AE459" s="17"/>
      <c r="AF459" s="17"/>
      <c r="AG459" s="66"/>
      <c r="AH459" s="17"/>
      <c r="AI459" s="13"/>
      <c r="AJ459" s="13"/>
      <c r="AK459" s="13"/>
      <c r="AL459" s="13"/>
      <c r="AM459" s="13"/>
      <c r="AN459" s="13"/>
      <c r="AO459" s="13"/>
    </row>
    <row r="460" spans="1:41" ht="19.899999999999999" customHeight="1" thickBo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7"/>
      <c r="M460" s="65"/>
      <c r="N460" s="1606"/>
      <c r="O460" s="974">
        <f>+K10</f>
        <v>5</v>
      </c>
      <c r="P460" s="975" t="s">
        <v>34</v>
      </c>
      <c r="Q460" s="977">
        <f>+K11</f>
        <v>6</v>
      </c>
      <c r="R460" s="31" t="s">
        <v>0</v>
      </c>
      <c r="S460" s="17"/>
      <c r="T460" s="969" t="s">
        <v>406</v>
      </c>
      <c r="U460" s="978">
        <f>+SUMIF(Y457:Y467,T460,AA457:AA467)</f>
        <v>356.16</v>
      </c>
      <c r="V460" s="17"/>
      <c r="W460" s="965"/>
      <c r="X460" s="965"/>
      <c r="Y460" s="972" t="s">
        <v>418</v>
      </c>
      <c r="Z460" s="973">
        <v>30.55</v>
      </c>
      <c r="AA460" s="973">
        <f>Z460*4</f>
        <v>122.2</v>
      </c>
      <c r="AB460" s="973">
        <f t="shared" si="24"/>
        <v>244.4</v>
      </c>
      <c r="AC460" s="973">
        <f t="shared" si="25"/>
        <v>366.6</v>
      </c>
      <c r="AD460" s="17"/>
      <c r="AE460" s="17"/>
      <c r="AF460" s="17"/>
      <c r="AG460" s="67"/>
      <c r="AH460" s="17"/>
      <c r="AI460" s="13"/>
      <c r="AJ460" s="13"/>
      <c r="AK460" s="13"/>
      <c r="AL460" s="13"/>
      <c r="AM460" s="13"/>
      <c r="AN460" s="13"/>
      <c r="AO460" s="13"/>
    </row>
    <row r="461" spans="1:41" ht="19.899999999999999" customHeight="1" thickBo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7"/>
      <c r="M461" s="65"/>
      <c r="N461" s="1607"/>
      <c r="O461" s="974">
        <f>+K21</f>
        <v>0.3</v>
      </c>
      <c r="P461" s="975" t="s">
        <v>34</v>
      </c>
      <c r="Q461" s="979">
        <f>+O461</f>
        <v>0.3</v>
      </c>
      <c r="R461" s="980" t="s">
        <v>0</v>
      </c>
      <c r="S461" s="981" t="s">
        <v>291</v>
      </c>
      <c r="T461" s="981" t="s">
        <v>292</v>
      </c>
      <c r="U461" s="17"/>
      <c r="V461" s="17"/>
      <c r="W461" s="965">
        <v>200</v>
      </c>
      <c r="X461" s="965">
        <v>180</v>
      </c>
      <c r="Y461" s="972" t="s">
        <v>406</v>
      </c>
      <c r="Z461" s="973">
        <v>44.52</v>
      </c>
      <c r="AA461" s="973">
        <f t="shared" si="23"/>
        <v>356.16</v>
      </c>
      <c r="AB461" s="973">
        <f t="shared" si="24"/>
        <v>712.32</v>
      </c>
      <c r="AC461" s="973">
        <f t="shared" si="25"/>
        <v>1068.48</v>
      </c>
      <c r="AD461" s="17"/>
      <c r="AE461" s="17"/>
      <c r="AF461" s="17"/>
      <c r="AG461" s="68"/>
      <c r="AH461" s="17"/>
      <c r="AI461" s="23"/>
      <c r="AJ461" s="24"/>
      <c r="AK461" s="24"/>
      <c r="AL461" s="24"/>
      <c r="AM461" s="24"/>
      <c r="AN461" s="13"/>
      <c r="AO461" s="13"/>
    </row>
    <row r="462" spans="1:41" ht="19.899999999999999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7"/>
      <c r="M462" s="65"/>
      <c r="N462" s="982" t="s">
        <v>293</v>
      </c>
      <c r="O462" s="983">
        <f>+K20</f>
        <v>0.5</v>
      </c>
      <c r="P462" s="984" t="s">
        <v>0</v>
      </c>
      <c r="Q462" s="985" t="s">
        <v>294</v>
      </c>
      <c r="R462" s="986"/>
      <c r="S462" s="987" t="s">
        <v>295</v>
      </c>
      <c r="T462" s="988" t="s">
        <v>296</v>
      </c>
      <c r="U462" s="17"/>
      <c r="V462" s="17"/>
      <c r="W462" s="965"/>
      <c r="X462" s="965"/>
      <c r="Y462" s="972" t="s">
        <v>419</v>
      </c>
      <c r="Z462" s="973">
        <v>44.63</v>
      </c>
      <c r="AA462" s="973">
        <f>Z462*4</f>
        <v>178.52</v>
      </c>
      <c r="AB462" s="973">
        <f t="shared" si="24"/>
        <v>357.04</v>
      </c>
      <c r="AC462" s="973">
        <f>AA462*3</f>
        <v>535.56000000000006</v>
      </c>
      <c r="AD462" s="17"/>
      <c r="AE462" s="17"/>
      <c r="AF462" s="17"/>
      <c r="AG462" s="31"/>
      <c r="AH462" s="17"/>
      <c r="AI462" s="13"/>
      <c r="AJ462" s="13"/>
      <c r="AK462" s="13"/>
      <c r="AL462" s="13"/>
      <c r="AM462" s="13"/>
      <c r="AN462" s="13"/>
      <c r="AO462" s="13"/>
    </row>
    <row r="463" spans="1:41" ht="19.899999999999999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7"/>
      <c r="M463" s="65"/>
      <c r="N463" s="989" t="s">
        <v>297</v>
      </c>
      <c r="O463" s="990" t="e">
        <f>+#REF!</f>
        <v>#REF!</v>
      </c>
      <c r="P463" s="991" t="s">
        <v>0</v>
      </c>
      <c r="Q463" s="16" t="s">
        <v>298</v>
      </c>
      <c r="R463" s="992" t="s">
        <v>299</v>
      </c>
      <c r="S463" s="992">
        <f>+IF(S457&lt;=85,S457*3/1000,IF(S457&lt;=125,S457*2/1000,S457/1000))</f>
        <v>0.2</v>
      </c>
      <c r="T463" s="992">
        <f>+IF(T457&lt;=85,T457*3/1000,IF(T457&lt;=125,T457*2/1000,T457/1000))</f>
        <v>0.2</v>
      </c>
      <c r="U463" s="25" t="s">
        <v>0</v>
      </c>
      <c r="V463" s="17"/>
      <c r="W463" s="965"/>
      <c r="X463" s="965"/>
      <c r="Y463" s="972" t="s">
        <v>420</v>
      </c>
      <c r="Z463" s="973">
        <v>63.15</v>
      </c>
      <c r="AA463" s="973">
        <f t="shared" si="23"/>
        <v>505.2</v>
      </c>
      <c r="AB463" s="973">
        <f t="shared" si="24"/>
        <v>1010.4</v>
      </c>
      <c r="AC463" s="973">
        <f t="shared" si="25"/>
        <v>1515.6</v>
      </c>
      <c r="AD463" s="17"/>
      <c r="AE463" s="17"/>
      <c r="AF463" s="17"/>
      <c r="AG463" s="31"/>
      <c r="AH463" s="17"/>
      <c r="AI463" s="13"/>
      <c r="AJ463" s="13"/>
      <c r="AK463" s="13"/>
      <c r="AL463" s="13"/>
      <c r="AM463" s="13"/>
      <c r="AN463" s="13"/>
      <c r="AO463" s="13"/>
    </row>
    <row r="464" spans="1:41" ht="19.899999999999999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7"/>
      <c r="M464" s="65"/>
      <c r="N464" s="989" t="s">
        <v>300</v>
      </c>
      <c r="O464" s="990">
        <f>+K18</f>
        <v>3.5</v>
      </c>
      <c r="P464" s="991" t="s">
        <v>0</v>
      </c>
      <c r="Q464" s="16"/>
      <c r="R464" s="992" t="s">
        <v>301</v>
      </c>
      <c r="S464" s="992">
        <f>+S463</f>
        <v>0.2</v>
      </c>
      <c r="T464" s="32">
        <f>+T463</f>
        <v>0.2</v>
      </c>
      <c r="U464" s="25" t="s">
        <v>0</v>
      </c>
      <c r="V464" s="17"/>
      <c r="W464" s="965">
        <v>200</v>
      </c>
      <c r="X464" s="965">
        <v>180</v>
      </c>
      <c r="Y464" s="972">
        <v>56</v>
      </c>
      <c r="Z464" s="973">
        <v>31.12</v>
      </c>
      <c r="AA464" s="973">
        <f>Z464*16</f>
        <v>497.92</v>
      </c>
      <c r="AB464" s="973">
        <f t="shared" si="24"/>
        <v>995.84</v>
      </c>
      <c r="AC464" s="973">
        <f t="shared" si="25"/>
        <v>1493.76</v>
      </c>
      <c r="AD464" s="17"/>
      <c r="AE464" s="17"/>
      <c r="AF464" s="17"/>
      <c r="AG464" s="31"/>
      <c r="AH464" s="17"/>
      <c r="AI464" s="13"/>
      <c r="AJ464" s="13"/>
      <c r="AK464" s="13"/>
      <c r="AL464" s="13"/>
      <c r="AM464" s="13"/>
      <c r="AN464" s="13"/>
      <c r="AO464" s="13"/>
    </row>
    <row r="465" spans="1:41" ht="19.899999999999999" customHeight="1" thickBo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7"/>
      <c r="M465" s="65"/>
      <c r="N465" s="989" t="s">
        <v>302</v>
      </c>
      <c r="O465" s="990">
        <f>+K23</f>
        <v>1</v>
      </c>
      <c r="P465" s="991" t="s">
        <v>0</v>
      </c>
      <c r="Q465" s="993" t="s">
        <v>303</v>
      </c>
      <c r="R465" s="994"/>
      <c r="S465" s="995">
        <v>0</v>
      </c>
      <c r="T465" s="996">
        <v>0</v>
      </c>
      <c r="U465" s="17"/>
      <c r="V465" s="17"/>
      <c r="W465" s="965">
        <v>220</v>
      </c>
      <c r="X465" s="965">
        <v>200</v>
      </c>
      <c r="Y465" s="972">
        <v>64</v>
      </c>
      <c r="Z465" s="973">
        <v>44.03</v>
      </c>
      <c r="AA465" s="973">
        <f>Z465*16</f>
        <v>704.48</v>
      </c>
      <c r="AB465" s="973">
        <f t="shared" si="24"/>
        <v>1408.96</v>
      </c>
      <c r="AC465" s="973">
        <f t="shared" si="25"/>
        <v>2113.44</v>
      </c>
      <c r="AD465" s="17"/>
      <c r="AE465" s="17"/>
      <c r="AF465" s="17"/>
      <c r="AG465" s="31"/>
      <c r="AH465" s="17"/>
      <c r="AI465" s="13"/>
      <c r="AJ465" s="13"/>
      <c r="AK465" s="13"/>
      <c r="AL465" s="13"/>
      <c r="AM465" s="13"/>
      <c r="AN465" s="13"/>
      <c r="AO465" s="13"/>
    </row>
    <row r="466" spans="1:41" ht="19.899999999999999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7"/>
      <c r="M466" s="65"/>
      <c r="N466" s="989" t="s">
        <v>304</v>
      </c>
      <c r="O466" s="990" t="e">
        <f>+#REF!</f>
        <v>#REF!</v>
      </c>
      <c r="P466" s="991" t="s">
        <v>0</v>
      </c>
      <c r="Q466" s="997" t="s">
        <v>305</v>
      </c>
      <c r="R466" s="19"/>
      <c r="S466" s="998" t="e">
        <f>+IF(O466&lt;=1,IF(O466&lt;=0.8,IF(O466&lt;=0.6,IF(O466&lt;=0.5,IF(O466&lt;=0.4,IF(O466&lt;=0.35,0.115,0.14),0.19),0.25),0.335),0.435),"NO")</f>
        <v>#REF!</v>
      </c>
      <c r="T466" s="17"/>
      <c r="U466" s="17"/>
      <c r="V466" s="17"/>
      <c r="W466" s="965">
        <v>250</v>
      </c>
      <c r="X466" s="965">
        <v>250</v>
      </c>
      <c r="Y466" s="972">
        <v>72</v>
      </c>
      <c r="Z466" s="973">
        <v>58.01</v>
      </c>
      <c r="AA466" s="973">
        <f>Z466*16</f>
        <v>928.16</v>
      </c>
      <c r="AB466" s="973">
        <f t="shared" si="24"/>
        <v>1856.32</v>
      </c>
      <c r="AC466" s="973">
        <f t="shared" si="25"/>
        <v>2784.48</v>
      </c>
      <c r="AD466" s="17"/>
      <c r="AE466" s="17"/>
      <c r="AF466" s="17"/>
      <c r="AG466" s="31"/>
      <c r="AH466" s="17"/>
      <c r="AI466" s="13"/>
      <c r="AJ466" s="13"/>
      <c r="AK466" s="13"/>
      <c r="AL466" s="13"/>
      <c r="AM466" s="13"/>
      <c r="AN466" s="13"/>
      <c r="AO466" s="13"/>
    </row>
    <row r="467" spans="1:41" ht="19.899999999999999" customHeight="1" thickBo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7"/>
      <c r="M467" s="65"/>
      <c r="N467" s="989" t="s">
        <v>306</v>
      </c>
      <c r="O467" s="990" t="e">
        <f>+#REF!</f>
        <v>#REF!</v>
      </c>
      <c r="P467" s="991" t="s">
        <v>0</v>
      </c>
      <c r="Q467" s="999" t="s">
        <v>307</v>
      </c>
      <c r="R467" s="1000"/>
      <c r="S467" s="1001" t="e">
        <f>+T467</f>
        <v>#REF!</v>
      </c>
      <c r="T467" s="17" t="e">
        <f>+IF(OR(O463-O462=1,O463-O462=1.1,O463-O462=1.2),8,IF(OR(O463-O462=0.9,O463-O462=0.8,O463-O462=0.7,O463-O462=0.6),4,0))</f>
        <v>#REF!</v>
      </c>
      <c r="U467" s="17" t="s">
        <v>308</v>
      </c>
      <c r="V467" s="17"/>
      <c r="W467" s="1002">
        <v>250</v>
      </c>
      <c r="X467" s="1002">
        <v>250</v>
      </c>
      <c r="Y467" s="1003">
        <v>80</v>
      </c>
      <c r="Z467" s="1004">
        <v>77.37</v>
      </c>
      <c r="AA467" s="1004">
        <f>Z467*16</f>
        <v>1237.92</v>
      </c>
      <c r="AB467" s="1004">
        <f t="shared" si="24"/>
        <v>2475.84</v>
      </c>
      <c r="AC467" s="1004">
        <f t="shared" si="25"/>
        <v>3713.76</v>
      </c>
      <c r="AD467" s="17"/>
      <c r="AE467" s="17"/>
      <c r="AF467" s="17"/>
      <c r="AG467" s="31"/>
      <c r="AH467" s="17"/>
      <c r="AI467" s="13"/>
      <c r="AJ467" s="14"/>
      <c r="AK467" s="14"/>
      <c r="AL467" s="13"/>
      <c r="AM467" s="13"/>
      <c r="AN467" s="13"/>
      <c r="AO467" s="13"/>
    </row>
    <row r="468" spans="1:41" ht="19.899999999999999" customHeight="1" thickBo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7"/>
      <c r="M468" s="65"/>
      <c r="N468" s="1005" t="s">
        <v>52</v>
      </c>
      <c r="O468" s="1006">
        <v>7.4999999999999997E-2</v>
      </c>
      <c r="P468" s="1007" t="s">
        <v>0</v>
      </c>
      <c r="Q468" s="1008" t="s">
        <v>309</v>
      </c>
      <c r="R468" s="1009">
        <v>0</v>
      </c>
      <c r="S468" s="1010" t="e">
        <f>+((ROUND(((Y478-W478)/2-2*O468-O466/2)/0.3-0.3,0)+1)*2+(ROUND((W478-O466-2*O468)/0.3-0.3,0)+1)+(ROUND(((X478-V478)/2-2*O468-O466/2)/0.3-0.3,0)+1)*2+(ROUND((V478-O466-2*O468)/0.3-0.3,0)+1))*2</f>
        <v>#REF!</v>
      </c>
      <c r="T468" s="1011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31"/>
      <c r="AH468" s="17"/>
      <c r="AI468" s="13"/>
      <c r="AJ468" s="14"/>
      <c r="AK468" s="14"/>
      <c r="AL468" s="13"/>
      <c r="AM468" s="13"/>
      <c r="AN468" s="13"/>
      <c r="AO468" s="13"/>
    </row>
    <row r="469" spans="1:41" ht="19.899999999999999" customHeight="1" thickBo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7"/>
      <c r="M469" s="65"/>
      <c r="N469" s="17"/>
      <c r="O469" s="17"/>
      <c r="P469" s="17"/>
      <c r="Q469" s="1008" t="s">
        <v>310</v>
      </c>
      <c r="R469" s="1009">
        <f>+IF(O465=0.6,20,IF(O465=0.8,28,IF(O465=1,36,IF(O465=1.2,44,"kiem tra"))))</f>
        <v>36</v>
      </c>
      <c r="S469" s="1608" t="s">
        <v>311</v>
      </c>
      <c r="T469" s="1560"/>
      <c r="U469" s="1560"/>
      <c r="V469" s="1560"/>
      <c r="W469" s="1560"/>
      <c r="X469" s="1561"/>
      <c r="Y469" s="1608" t="s">
        <v>312</v>
      </c>
      <c r="Z469" s="1560"/>
      <c r="AA469" s="1560"/>
      <c r="AB469" s="1561"/>
      <c r="AC469" s="1608" t="s">
        <v>313</v>
      </c>
      <c r="AD469" s="1560"/>
      <c r="AE469" s="1560"/>
      <c r="AF469" s="1561"/>
      <c r="AG469" s="66"/>
      <c r="AH469" s="17"/>
      <c r="AI469" s="13"/>
      <c r="AJ469" s="14"/>
      <c r="AK469" s="14"/>
      <c r="AL469" s="13"/>
      <c r="AM469" s="13"/>
      <c r="AN469" s="13"/>
      <c r="AO469" s="13"/>
    </row>
    <row r="470" spans="1:41" ht="19.899999999999999" customHeight="1" thickBo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7"/>
      <c r="M470" s="65"/>
      <c r="N470" s="17"/>
      <c r="O470" s="17"/>
      <c r="P470" s="17"/>
      <c r="Q470" s="17"/>
      <c r="R470" s="17"/>
      <c r="S470" s="1609" t="s">
        <v>299</v>
      </c>
      <c r="T470" s="1610"/>
      <c r="U470" s="1611"/>
      <c r="V470" s="1612" t="s">
        <v>301</v>
      </c>
      <c r="W470" s="1610"/>
      <c r="X470" s="1611"/>
      <c r="Y470" s="1613" t="s">
        <v>299</v>
      </c>
      <c r="Z470" s="1614"/>
      <c r="AA470" s="1615" t="s">
        <v>421</v>
      </c>
      <c r="AB470" s="1616"/>
      <c r="AC470" s="1617" t="s">
        <v>299</v>
      </c>
      <c r="AD470" s="1618"/>
      <c r="AE470" s="1556" t="s">
        <v>421</v>
      </c>
      <c r="AF470" s="1557"/>
      <c r="AG470" s="31"/>
      <c r="AH470" s="17"/>
      <c r="AI470" s="13"/>
      <c r="AJ470" s="14"/>
      <c r="AK470" s="14"/>
      <c r="AL470" s="13"/>
      <c r="AM470" s="13"/>
      <c r="AN470" s="13"/>
      <c r="AO470" s="13"/>
    </row>
    <row r="471" spans="1:41" ht="19.899999999999999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7"/>
      <c r="M471" s="44" t="s">
        <v>314</v>
      </c>
      <c r="N471" s="1012" t="s">
        <v>315</v>
      </c>
      <c r="O471" s="1012" t="s">
        <v>316</v>
      </c>
      <c r="P471" s="1012" t="s">
        <v>317</v>
      </c>
      <c r="Q471" s="1012" t="s">
        <v>318</v>
      </c>
      <c r="R471" s="1013" t="s">
        <v>319</v>
      </c>
      <c r="S471" s="1014">
        <v>1</v>
      </c>
      <c r="T471" s="1015">
        <v>2</v>
      </c>
      <c r="U471" s="1016">
        <v>3</v>
      </c>
      <c r="V471" s="1014">
        <v>1</v>
      </c>
      <c r="W471" s="1015">
        <v>2</v>
      </c>
      <c r="X471" s="1016">
        <v>3</v>
      </c>
      <c r="Y471" s="1014" t="s">
        <v>320</v>
      </c>
      <c r="Z471" s="1016" t="s">
        <v>321</v>
      </c>
      <c r="AA471" s="997" t="s">
        <v>322</v>
      </c>
      <c r="AB471" s="1016" t="s">
        <v>323</v>
      </c>
      <c r="AC471" s="997" t="s">
        <v>324</v>
      </c>
      <c r="AD471" s="18" t="s">
        <v>325</v>
      </c>
      <c r="AE471" s="19" t="s">
        <v>324</v>
      </c>
      <c r="AF471" s="18" t="s">
        <v>325</v>
      </c>
      <c r="AG471" s="31"/>
      <c r="AH471" s="17"/>
      <c r="AI471" s="13"/>
      <c r="AJ471" s="14"/>
      <c r="AK471" s="14"/>
      <c r="AL471" s="13"/>
      <c r="AM471" s="13"/>
      <c r="AN471" s="13"/>
      <c r="AO471" s="13"/>
    </row>
    <row r="472" spans="1:41" ht="19.899999999999999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7"/>
      <c r="M472" s="45" t="s">
        <v>56</v>
      </c>
      <c r="N472" s="1017">
        <f>+VALUE(MID(C406,4,2))</f>
        <v>20</v>
      </c>
      <c r="O472" s="1017">
        <f>+VALUE(MID(C305,4,2))</f>
        <v>20</v>
      </c>
      <c r="P472" s="1017">
        <f>+O472</f>
        <v>20</v>
      </c>
      <c r="Q472" s="1017">
        <f>+O472</f>
        <v>20</v>
      </c>
      <c r="R472" s="1018">
        <f>+O472</f>
        <v>20</v>
      </c>
      <c r="S472" s="33">
        <f>+VALUE(LEFT(C236,2))</f>
        <v>12</v>
      </c>
      <c r="T472" s="992">
        <f>+VALUE(LEFT(C264,2))</f>
        <v>12</v>
      </c>
      <c r="U472" s="32">
        <f>+T472</f>
        <v>12</v>
      </c>
      <c r="V472" s="33">
        <f>+S472</f>
        <v>12</v>
      </c>
      <c r="W472" s="992">
        <f>+T472</f>
        <v>12</v>
      </c>
      <c r="X472" s="32">
        <f>+W472</f>
        <v>12</v>
      </c>
      <c r="Y472" s="33">
        <f>+S472</f>
        <v>12</v>
      </c>
      <c r="Z472" s="32">
        <f>+T472</f>
        <v>12</v>
      </c>
      <c r="AA472" s="1019">
        <f>+V472</f>
        <v>12</v>
      </c>
      <c r="AB472" s="32">
        <f>+W472</f>
        <v>12</v>
      </c>
      <c r="AC472" s="1019">
        <f>+Y472</f>
        <v>12</v>
      </c>
      <c r="AD472" s="1020">
        <f>+Z472</f>
        <v>12</v>
      </c>
      <c r="AE472" s="58">
        <f>+AA472</f>
        <v>12</v>
      </c>
      <c r="AF472" s="32">
        <f>+AB472</f>
        <v>12</v>
      </c>
      <c r="AG472" s="31"/>
      <c r="AH472" s="17"/>
      <c r="AI472" s="13"/>
      <c r="AJ472" s="14"/>
      <c r="AK472" s="14"/>
      <c r="AL472" s="13"/>
      <c r="AM472" s="13"/>
      <c r="AN472" s="13"/>
      <c r="AO472" s="13"/>
    </row>
    <row r="473" spans="1:41" ht="19.899999999999999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7"/>
      <c r="M473" s="46" t="s">
        <v>326</v>
      </c>
      <c r="N473" s="1021" t="str">
        <f>+LEFT(C406,2)</f>
        <v>08</v>
      </c>
      <c r="O473" s="1021" t="e">
        <f>+MAX(LEFT(#REF!,2),LEFT(C305,2))-P473</f>
        <v>#REF!</v>
      </c>
      <c r="P473" s="1022">
        <v>3</v>
      </c>
      <c r="Q473" s="1021" t="e">
        <f>+O473</f>
        <v>#REF!</v>
      </c>
      <c r="R473" s="1023">
        <f>+P473</f>
        <v>3</v>
      </c>
      <c r="S473" s="33">
        <f>+S463</f>
        <v>0.2</v>
      </c>
      <c r="T473" s="992">
        <f>+T463</f>
        <v>0.2</v>
      </c>
      <c r="U473" s="32">
        <f>+T473</f>
        <v>0.2</v>
      </c>
      <c r="V473" s="33">
        <f>+S464</f>
        <v>0.2</v>
      </c>
      <c r="W473" s="992">
        <f>+T464</f>
        <v>0.2</v>
      </c>
      <c r="X473" s="32">
        <f>+W473</f>
        <v>0.2</v>
      </c>
      <c r="Y473" s="1024"/>
      <c r="Z473" s="32"/>
      <c r="AA473" s="1025"/>
      <c r="AB473" s="32"/>
      <c r="AC473" s="1025"/>
      <c r="AD473" s="1020"/>
      <c r="AE473" s="34"/>
      <c r="AF473" s="32"/>
      <c r="AG473" s="31"/>
      <c r="AH473" s="17"/>
      <c r="AI473" s="13"/>
      <c r="AJ473" s="14"/>
      <c r="AK473" s="14"/>
      <c r="AL473" s="13"/>
      <c r="AM473" s="13"/>
      <c r="AN473" s="13"/>
      <c r="AO473" s="13"/>
    </row>
    <row r="474" spans="1:41" ht="19.899999999999999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7"/>
      <c r="M474" s="1558" t="s">
        <v>327</v>
      </c>
      <c r="N474" s="1026">
        <f>+N473*4-4</f>
        <v>28</v>
      </c>
      <c r="O474" s="1026" t="e">
        <f>+O473*2</f>
        <v>#REF!</v>
      </c>
      <c r="P474" s="1026">
        <f>+P473*2</f>
        <v>6</v>
      </c>
      <c r="Q474" s="1026" t="e">
        <f>+Q473*2</f>
        <v>#REF!</v>
      </c>
      <c r="R474" s="1027">
        <f>+R473*2</f>
        <v>6</v>
      </c>
      <c r="S474" s="33" t="e">
        <f>+ROUND(((O460-O459)/2-S466-O468)/S473,0)+1</f>
        <v>#REF!</v>
      </c>
      <c r="T474" s="992" t="e">
        <f>+ROUND(((O459-O461)/2-S466-O468)/T473,0)+1</f>
        <v>#REF!</v>
      </c>
      <c r="U474" s="32">
        <f>+ROUND((O461+2*O468)/U473,0)-1</f>
        <v>1</v>
      </c>
      <c r="V474" s="33" t="e">
        <f>+ROUND(((Q460-Q459)/2-S466-O468)/V473,0)+1</f>
        <v>#REF!</v>
      </c>
      <c r="W474" s="992" t="e">
        <f>+ROUND(((Q459-Q461)/2-S466-O468)/W473,0)+1</f>
        <v>#REF!</v>
      </c>
      <c r="X474" s="32">
        <f>+ROUND((Q461+2*O468)/X473,0)-1</f>
        <v>1</v>
      </c>
      <c r="Y474" s="1024" t="e">
        <f>+(S474-1)*2*S465</f>
        <v>#REF!</v>
      </c>
      <c r="Z474" s="32" t="e">
        <f>+((U474+1)+(T474-1)*2)*T465</f>
        <v>#REF!</v>
      </c>
      <c r="AA474" s="1025" t="e">
        <f>+(V474-1)*2*S465</f>
        <v>#REF!</v>
      </c>
      <c r="AB474" s="35" t="e">
        <f>+((X474+1)+(W474-1)*2)*T465</f>
        <v>#REF!</v>
      </c>
      <c r="AC474" s="1028" t="e">
        <f>+Y474</f>
        <v>#REF!</v>
      </c>
      <c r="AD474" s="1029" t="e">
        <f>+((U474+1)+(T474-1)*2)*T465</f>
        <v>#REF!</v>
      </c>
      <c r="AE474" s="36" t="e">
        <f>+AA474</f>
        <v>#REF!</v>
      </c>
      <c r="AF474" s="35" t="e">
        <f>+((X474+1)+(W474-1)*2)*T465</f>
        <v>#REF!</v>
      </c>
      <c r="AG474" s="31"/>
      <c r="AH474" s="17"/>
      <c r="AI474" s="25"/>
      <c r="AJ474" s="13"/>
      <c r="AK474" s="14"/>
      <c r="AL474" s="13"/>
      <c r="AM474" s="13"/>
      <c r="AN474" s="13"/>
      <c r="AO474" s="13"/>
    </row>
    <row r="475" spans="1:41" ht="19.899999999999999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7"/>
      <c r="M475" s="1559"/>
      <c r="N475" s="1030"/>
      <c r="O475" s="1031" t="s">
        <v>328</v>
      </c>
      <c r="P475" s="1032">
        <f>+ROUND(K28/2,1)+0.1</f>
        <v>0.7</v>
      </c>
      <c r="Q475" s="1030"/>
      <c r="R475" s="1033">
        <f>+ROUND(K26/2,1)+0.1</f>
        <v>0.5</v>
      </c>
      <c r="S475" s="1034" t="e">
        <f>+S474-1</f>
        <v>#REF!</v>
      </c>
      <c r="T475" s="1030" t="e">
        <f>+T474-1</f>
        <v>#REF!</v>
      </c>
      <c r="U475" s="1035"/>
      <c r="V475" s="1034" t="e">
        <f>+V474-1</f>
        <v>#REF!</v>
      </c>
      <c r="W475" s="1030" t="e">
        <f>+W474-1</f>
        <v>#REF!</v>
      </c>
      <c r="X475" s="1035"/>
      <c r="Y475" s="1036" t="e">
        <f t="shared" ref="Y475:AF475" si="26">+Y474</f>
        <v>#REF!</v>
      </c>
      <c r="Z475" s="37" t="e">
        <f t="shared" si="26"/>
        <v>#REF!</v>
      </c>
      <c r="AA475" s="1037" t="e">
        <f t="shared" si="26"/>
        <v>#REF!</v>
      </c>
      <c r="AB475" s="37" t="e">
        <f t="shared" si="26"/>
        <v>#REF!</v>
      </c>
      <c r="AC475" s="1037" t="e">
        <f t="shared" si="26"/>
        <v>#REF!</v>
      </c>
      <c r="AD475" s="1038" t="e">
        <f t="shared" si="26"/>
        <v>#REF!</v>
      </c>
      <c r="AE475" s="38" t="e">
        <f t="shared" si="26"/>
        <v>#REF!</v>
      </c>
      <c r="AF475" s="37" t="e">
        <f t="shared" si="26"/>
        <v>#REF!</v>
      </c>
      <c r="AG475" s="31"/>
      <c r="AH475" s="17"/>
      <c r="AI475" s="25"/>
      <c r="AJ475" s="13"/>
      <c r="AK475" s="14"/>
      <c r="AL475" s="13"/>
      <c r="AM475" s="13"/>
      <c r="AN475" s="13"/>
      <c r="AO475" s="13"/>
    </row>
    <row r="476" spans="1:41" ht="19.899999999999999" customHeight="1" thickBo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7"/>
      <c r="M476" s="47" t="s">
        <v>329</v>
      </c>
      <c r="N476" s="1039">
        <f>+O464-2*O468+0.25</f>
        <v>3.6</v>
      </c>
      <c r="O476" s="1039">
        <f>+Q460-2*O468</f>
        <v>5.85</v>
      </c>
      <c r="P476" s="1039">
        <f>+P475*2+O459</f>
        <v>4</v>
      </c>
      <c r="Q476" s="1039">
        <f>+O460-2*O468</f>
        <v>4.8499999999999996</v>
      </c>
      <c r="R476" s="1040">
        <f>+R475*2+O459</f>
        <v>3.6</v>
      </c>
      <c r="S476" s="1041">
        <f>+O476</f>
        <v>5.85</v>
      </c>
      <c r="T476" s="1042">
        <f>+S476</f>
        <v>5.85</v>
      </c>
      <c r="U476" s="1043">
        <f>+(Q460/2-Q461/2-2*O468)</f>
        <v>2.7</v>
      </c>
      <c r="V476" s="1041">
        <f>+Q476</f>
        <v>4.8499999999999996</v>
      </c>
      <c r="W476" s="1042">
        <f>+V476</f>
        <v>4.8499999999999996</v>
      </c>
      <c r="X476" s="1043">
        <f>+(O460/2-O461/2-2*O468)</f>
        <v>2.2000000000000002</v>
      </c>
      <c r="Y476" s="1044"/>
      <c r="Z476" s="39"/>
      <c r="AA476" s="1044"/>
      <c r="AB476" s="39"/>
      <c r="AC476" s="1045"/>
      <c r="AD476" s="1046"/>
      <c r="AE476" s="40"/>
      <c r="AF476" s="39"/>
      <c r="AG476" s="31"/>
      <c r="AH476" s="17"/>
      <c r="AI476" s="13"/>
      <c r="AJ476" s="13"/>
      <c r="AK476" s="13"/>
      <c r="AL476" s="13"/>
      <c r="AM476" s="13"/>
      <c r="AN476" s="13"/>
      <c r="AO476" s="13"/>
    </row>
    <row r="477" spans="1:41" ht="19.899999999999999" customHeight="1" thickBo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7"/>
      <c r="M477" s="62"/>
      <c r="N477" s="41"/>
      <c r="O477" s="41"/>
      <c r="P477" s="41"/>
      <c r="Q477" s="41"/>
      <c r="R477" s="41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31"/>
      <c r="AH477" s="17"/>
      <c r="AI477" s="13"/>
      <c r="AJ477" s="13"/>
      <c r="AK477" s="13"/>
      <c r="AL477" s="13"/>
      <c r="AM477" s="13"/>
      <c r="AN477" s="13"/>
      <c r="AO477" s="13"/>
    </row>
    <row r="478" spans="1:41" ht="19.899999999999999" customHeight="1" thickBo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7"/>
      <c r="M478" s="48" t="s">
        <v>330</v>
      </c>
      <c r="N478" s="1047"/>
      <c r="O478" s="1047"/>
      <c r="P478" s="1047"/>
      <c r="Q478" s="1047"/>
      <c r="R478" s="1047"/>
      <c r="S478" s="1048"/>
      <c r="T478" s="17"/>
      <c r="U478" s="1049" t="s">
        <v>288</v>
      </c>
      <c r="V478" s="1050">
        <f>+O459</f>
        <v>2.6</v>
      </c>
      <c r="W478" s="1050">
        <f>+Q459</f>
        <v>2.6</v>
      </c>
      <c r="X478" s="1051">
        <f>+O460</f>
        <v>5</v>
      </c>
      <c r="Y478" s="1052">
        <f>+Q460</f>
        <v>6</v>
      </c>
      <c r="Z478" s="1053"/>
      <c r="AA478" s="1053"/>
      <c r="AB478" s="30"/>
      <c r="AC478" s="30"/>
      <c r="AD478" s="17"/>
      <c r="AE478" s="17"/>
      <c r="AF478" s="17"/>
      <c r="AG478" s="31"/>
      <c r="AH478" s="17"/>
      <c r="AI478" s="13"/>
      <c r="AJ478" s="14"/>
      <c r="AK478" s="14"/>
      <c r="AL478" s="13"/>
      <c r="AM478" s="13"/>
      <c r="AN478" s="13"/>
      <c r="AO478" s="13"/>
    </row>
    <row r="479" spans="1:41" ht="19.899999999999999" customHeight="1" thickBo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7"/>
      <c r="M479" s="49"/>
      <c r="N479" s="1054" t="s">
        <v>331</v>
      </c>
      <c r="O479" s="1054" t="s">
        <v>332</v>
      </c>
      <c r="P479" s="1054" t="s">
        <v>333</v>
      </c>
      <c r="Q479" s="1054" t="s">
        <v>334</v>
      </c>
      <c r="R479" s="1055" t="s">
        <v>335</v>
      </c>
      <c r="S479" s="1056" t="s">
        <v>336</v>
      </c>
      <c r="T479" s="1057" t="s">
        <v>137</v>
      </c>
      <c r="U479" s="1058" t="s">
        <v>337</v>
      </c>
      <c r="V479" s="1054" t="s">
        <v>56</v>
      </c>
      <c r="W479" s="1054" t="s">
        <v>338</v>
      </c>
      <c r="X479" s="1054" t="s">
        <v>339</v>
      </c>
      <c r="Y479" s="1056" t="s">
        <v>340</v>
      </c>
      <c r="Z479" s="1059"/>
      <c r="AA479" s="1059"/>
      <c r="AB479" s="30"/>
      <c r="AC479" s="30"/>
      <c r="AD479" s="17"/>
      <c r="AE479" s="17"/>
      <c r="AF479" s="17"/>
      <c r="AG479" s="31"/>
      <c r="AH479" s="17"/>
      <c r="AI479"/>
      <c r="AJ479" s="14"/>
      <c r="AK479" s="14"/>
      <c r="AL479" s="13"/>
      <c r="AM479" s="13"/>
      <c r="AN479" s="13"/>
      <c r="AO479" s="13"/>
    </row>
    <row r="480" spans="1:41" ht="19.899999999999999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7"/>
      <c r="M480" s="50" t="s">
        <v>341</v>
      </c>
      <c r="N480" s="1060">
        <f>X478</f>
        <v>5</v>
      </c>
      <c r="O480" s="1060">
        <f>Y478</f>
        <v>6</v>
      </c>
      <c r="P480" s="1060">
        <f>+O461</f>
        <v>0.3</v>
      </c>
      <c r="Q480" s="1060">
        <f>+Q461</f>
        <v>0.3</v>
      </c>
      <c r="R480" s="1060">
        <f>+O462</f>
        <v>0.5</v>
      </c>
      <c r="S480" s="1061">
        <f>(N480*O480-P480*Q480)*R480</f>
        <v>14.955</v>
      </c>
      <c r="T480" s="42"/>
      <c r="U480" s="1062">
        <v>1</v>
      </c>
      <c r="V480" s="1063">
        <f>+N472</f>
        <v>20</v>
      </c>
      <c r="W480" s="1064">
        <f>+N476</f>
        <v>3.6</v>
      </c>
      <c r="X480" s="1063">
        <f>+N474*4</f>
        <v>112</v>
      </c>
      <c r="Y480" s="1065">
        <f t="shared" ref="Y480:Y505" si="27">W480*X480</f>
        <v>403.2</v>
      </c>
      <c r="Z480" s="1066"/>
      <c r="AA480" s="1066"/>
      <c r="AB480" s="1067" t="s">
        <v>342</v>
      </c>
      <c r="AC480" s="30"/>
      <c r="AD480" s="30"/>
      <c r="AE480" s="30"/>
      <c r="AF480" s="17"/>
      <c r="AG480" s="31"/>
      <c r="AH480" s="17"/>
      <c r="AI480"/>
      <c r="AJ480" s="13"/>
      <c r="AK480" s="14"/>
      <c r="AL480" s="13"/>
      <c r="AM480" s="13"/>
      <c r="AN480" s="13"/>
      <c r="AO480" s="13"/>
    </row>
    <row r="481" spans="1:41" ht="19.899999999999999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7"/>
      <c r="M481" s="51" t="s">
        <v>343</v>
      </c>
      <c r="N481" s="1068" t="e">
        <f>+O466</f>
        <v>#REF!</v>
      </c>
      <c r="O481" s="1069" t="e">
        <f>R481-R480</f>
        <v>#REF!</v>
      </c>
      <c r="P481" s="1069">
        <f>N480</f>
        <v>5</v>
      </c>
      <c r="Q481" s="1069">
        <f>O480</f>
        <v>6</v>
      </c>
      <c r="R481" s="1068" t="e">
        <f>+O463</f>
        <v>#REF!</v>
      </c>
      <c r="S481" s="1070" t="e">
        <f>(N481*O481*P481*2)+(N481*O481*(Q481-N481*2))*2</f>
        <v>#REF!</v>
      </c>
      <c r="T481" s="1071"/>
      <c r="U481" s="1072" t="e">
        <f>+IF(OR(W481=0,X481=0),0,IF(U480=0,U479+1,U480+1))</f>
        <v>#REF!</v>
      </c>
      <c r="V481" s="1068">
        <f>O472</f>
        <v>20</v>
      </c>
      <c r="W481" s="1073">
        <f>+O476</f>
        <v>5.85</v>
      </c>
      <c r="X481" s="1068" t="e">
        <f>+O474*2</f>
        <v>#REF!</v>
      </c>
      <c r="Y481" s="1074" t="e">
        <f t="shared" si="27"/>
        <v>#REF!</v>
      </c>
      <c r="Z481" s="1066"/>
      <c r="AA481" s="1066"/>
      <c r="AB481" s="1067" t="s">
        <v>344</v>
      </c>
      <c r="AC481" s="30"/>
      <c r="AD481" s="30"/>
      <c r="AE481" s="30"/>
      <c r="AF481" s="17"/>
      <c r="AG481" s="31"/>
      <c r="AH481" s="17"/>
      <c r="AI481"/>
      <c r="AJ481" s="13"/>
      <c r="AK481" s="13"/>
      <c r="AL481" s="13"/>
      <c r="AM481" s="13"/>
      <c r="AN481" s="13"/>
      <c r="AO481" s="13"/>
    </row>
    <row r="482" spans="1:41" ht="19.899999999999999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7"/>
      <c r="M482" s="51" t="s">
        <v>345</v>
      </c>
      <c r="N482" s="1068" t="e">
        <f>+O467</f>
        <v>#REF!</v>
      </c>
      <c r="O482" s="1068" t="e">
        <f>N482</f>
        <v>#REF!</v>
      </c>
      <c r="P482" s="1068" t="e">
        <f>O481</f>
        <v>#REF!</v>
      </c>
      <c r="Q482" s="1068"/>
      <c r="R482" s="1068"/>
      <c r="S482" s="1070" t="e">
        <f>((N482*O482)/2)*P482*16</f>
        <v>#REF!</v>
      </c>
      <c r="T482" s="1071"/>
      <c r="U482" s="1072" t="s">
        <v>346</v>
      </c>
      <c r="V482" s="1075">
        <f>+P472</f>
        <v>20</v>
      </c>
      <c r="W482" s="1076">
        <f>+P476</f>
        <v>4</v>
      </c>
      <c r="X482" s="1077">
        <f>+P474*2</f>
        <v>12</v>
      </c>
      <c r="Y482" s="1078">
        <f>W482*X482</f>
        <v>48</v>
      </c>
      <c r="Z482" s="20">
        <f>+Y482+Y483</f>
        <v>91.2</v>
      </c>
      <c r="AA482" s="21">
        <f>+X482+X483</f>
        <v>24</v>
      </c>
      <c r="AB482" s="1067" t="s">
        <v>347</v>
      </c>
      <c r="AC482" s="30"/>
      <c r="AD482" s="30"/>
      <c r="AE482" s="30"/>
      <c r="AF482" s="17"/>
      <c r="AG482" s="31"/>
      <c r="AH482" s="17"/>
      <c r="AI482"/>
      <c r="AJ482" s="13"/>
      <c r="AK482" s="13"/>
      <c r="AL482" s="13"/>
      <c r="AM482" s="13"/>
      <c r="AN482" s="13"/>
      <c r="AO482" s="13"/>
    </row>
    <row r="483" spans="1:41" ht="19.899999999999999" customHeight="1" thickBo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7"/>
      <c r="M483" s="52" t="s">
        <v>348</v>
      </c>
      <c r="N483" s="1079">
        <f>+O465</f>
        <v>1</v>
      </c>
      <c r="O483" s="1079">
        <f>N483</f>
        <v>1</v>
      </c>
      <c r="P483" s="1079"/>
      <c r="Q483" s="1079"/>
      <c r="R483" s="1080" t="e">
        <f>O464-(O481+R480)</f>
        <v>#REF!</v>
      </c>
      <c r="S483" s="1081" t="e">
        <f>N483*O483*R483*4</f>
        <v>#REF!</v>
      </c>
      <c r="T483" s="1071"/>
      <c r="U483" s="1072" t="s">
        <v>349</v>
      </c>
      <c r="V483" s="1082">
        <f>+R472</f>
        <v>20</v>
      </c>
      <c r="W483" s="1083">
        <f>+R476</f>
        <v>3.6</v>
      </c>
      <c r="X483" s="1084">
        <f>+R474*2</f>
        <v>12</v>
      </c>
      <c r="Y483" s="1085">
        <f t="shared" si="27"/>
        <v>43.2</v>
      </c>
      <c r="Z483" s="20"/>
      <c r="AA483" s="21"/>
      <c r="AB483" s="1067"/>
      <c r="AC483" s="30"/>
      <c r="AD483" s="30"/>
      <c r="AE483" s="30"/>
      <c r="AF483" s="17"/>
      <c r="AG483" s="31"/>
      <c r="AH483" s="17"/>
      <c r="AI483"/>
      <c r="AJ483" s="13"/>
      <c r="AK483" s="13"/>
      <c r="AL483" s="13"/>
      <c r="AM483" s="13"/>
      <c r="AN483" s="13"/>
      <c r="AO483" s="13"/>
    </row>
    <row r="484" spans="1:41" ht="19.899999999999999" customHeight="1" thickBo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7"/>
      <c r="M484" s="53" t="s">
        <v>350</v>
      </c>
      <c r="N484" s="1086"/>
      <c r="O484" s="1086"/>
      <c r="P484" s="1086"/>
      <c r="Q484" s="1086"/>
      <c r="R484" s="1086"/>
      <c r="S484" s="1087" t="e">
        <f>SUM(S480:S483)</f>
        <v>#REF!</v>
      </c>
      <c r="T484" s="1071"/>
      <c r="U484" s="1072" t="e">
        <f>+IF(OR(W484=0,X484=0),0,IF(U481=0,U480+1,U481+1))</f>
        <v>#REF!</v>
      </c>
      <c r="V484" s="1068">
        <f>Q472</f>
        <v>20</v>
      </c>
      <c r="W484" s="1073">
        <f>+Q476</f>
        <v>4.8499999999999996</v>
      </c>
      <c r="X484" s="1068" t="e">
        <f>+Q474*2</f>
        <v>#REF!</v>
      </c>
      <c r="Y484" s="1074" t="e">
        <f t="shared" si="27"/>
        <v>#REF!</v>
      </c>
      <c r="Z484" s="1066"/>
      <c r="AA484" s="1066"/>
      <c r="AB484" s="1067"/>
      <c r="AC484" s="30"/>
      <c r="AD484" s="30"/>
      <c r="AE484" s="30"/>
      <c r="AF484" s="17"/>
      <c r="AG484" s="31"/>
      <c r="AH484" s="17"/>
      <c r="AI484"/>
      <c r="AJ484" s="13"/>
      <c r="AK484" s="13"/>
      <c r="AL484" s="13"/>
      <c r="AM484" s="13"/>
      <c r="AN484" s="13"/>
      <c r="AO484" s="13"/>
    </row>
    <row r="485" spans="1:41" ht="19.899999999999999" customHeight="1" thickBo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7"/>
      <c r="M485" s="54" t="s">
        <v>351</v>
      </c>
      <c r="N485" s="1088">
        <f>N480+0.1*2</f>
        <v>5.2</v>
      </c>
      <c r="O485" s="1054">
        <f>O480+0.1*2</f>
        <v>6.2</v>
      </c>
      <c r="P485" s="1054">
        <f>P480-0.1*2</f>
        <v>9.9999999999999978E-2</v>
      </c>
      <c r="Q485" s="1054">
        <f>Q480-0.1*2</f>
        <v>9.9999999999999978E-2</v>
      </c>
      <c r="R485" s="1056">
        <v>0.1</v>
      </c>
      <c r="S485" s="1089">
        <f>(N485*O485-P485*Q485)*R485</f>
        <v>3.2230000000000008</v>
      </c>
      <c r="T485" s="1071"/>
      <c r="U485" s="1072">
        <v>4</v>
      </c>
      <c r="V485" s="1090">
        <f>+S472</f>
        <v>12</v>
      </c>
      <c r="W485" s="1091">
        <f>+S476</f>
        <v>5.85</v>
      </c>
      <c r="X485" s="1092" t="e">
        <f>+(S475+S474)*2+S467</f>
        <v>#REF!</v>
      </c>
      <c r="Y485" s="1093" t="e">
        <f t="shared" si="27"/>
        <v>#REF!</v>
      </c>
      <c r="Z485" s="20" t="e">
        <f>+Y485+Y486</f>
        <v>#REF!</v>
      </c>
      <c r="AA485" s="21" t="e">
        <f>+X485+X486</f>
        <v>#REF!</v>
      </c>
      <c r="AB485" s="1094" t="s">
        <v>352</v>
      </c>
      <c r="AC485" s="1095"/>
      <c r="AD485" s="17"/>
      <c r="AE485" s="17"/>
      <c r="AF485" s="17"/>
      <c r="AG485" s="31"/>
      <c r="AH485" s="17"/>
      <c r="AI485"/>
      <c r="AJ485" s="14"/>
      <c r="AK485" s="14"/>
      <c r="AL485" s="13"/>
      <c r="AM485" s="13"/>
      <c r="AN485" s="13"/>
      <c r="AO485" s="13"/>
    </row>
    <row r="486" spans="1:41" ht="19.899999999999999" customHeight="1" thickBo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7"/>
      <c r="M486" s="55" t="s">
        <v>353</v>
      </c>
      <c r="N486" s="1096">
        <f>N480+R486*2</f>
        <v>5</v>
      </c>
      <c r="O486" s="1096">
        <f>O480+R486*2</f>
        <v>6</v>
      </c>
      <c r="P486" s="1096">
        <f>N486+R486*2</f>
        <v>5</v>
      </c>
      <c r="Q486" s="1096">
        <f>O486+R486*2</f>
        <v>6</v>
      </c>
      <c r="R486" s="1097">
        <v>0</v>
      </c>
      <c r="S486" s="1098">
        <f>R486/6*((N486*O486)+(N486+P486)*(O486+Q486)+(P486*Q486))</f>
        <v>0</v>
      </c>
      <c r="T486" s="1071"/>
      <c r="U486" s="1072" t="s">
        <v>354</v>
      </c>
      <c r="V486" s="1099">
        <f>+T472</f>
        <v>12</v>
      </c>
      <c r="W486" s="1100">
        <f>+T476</f>
        <v>5.85</v>
      </c>
      <c r="X486" s="1099" t="e">
        <f>+(T475+T474)*2</f>
        <v>#REF!</v>
      </c>
      <c r="Y486" s="1101" t="e">
        <f t="shared" si="27"/>
        <v>#REF!</v>
      </c>
      <c r="Z486" s="20"/>
      <c r="AA486" s="21"/>
      <c r="AB486" s="1094" t="s">
        <v>355</v>
      </c>
      <c r="AC486" s="1095"/>
      <c r="AD486" s="17"/>
      <c r="AE486" s="17"/>
      <c r="AF486" s="17"/>
      <c r="AG486" s="31"/>
      <c r="AH486" s="17"/>
      <c r="AI486"/>
      <c r="AJ486" s="14"/>
      <c r="AK486" s="13"/>
      <c r="AL486" s="13"/>
      <c r="AM486" s="14"/>
      <c r="AN486" s="13"/>
      <c r="AO486" s="13"/>
    </row>
    <row r="487" spans="1:41" ht="19.899999999999999" customHeight="1" thickBo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7"/>
      <c r="M487" s="56" t="s">
        <v>356</v>
      </c>
      <c r="N487" s="1054">
        <f>N486</f>
        <v>5</v>
      </c>
      <c r="O487" s="1054">
        <f>O486</f>
        <v>6</v>
      </c>
      <c r="P487" s="1054">
        <f>N487+R487*2</f>
        <v>12.2</v>
      </c>
      <c r="Q487" s="1054">
        <f>O487+R487*2</f>
        <v>13.2</v>
      </c>
      <c r="R487" s="1056">
        <f>+O464+R486+R485</f>
        <v>3.6</v>
      </c>
      <c r="S487" s="1102">
        <f>R487/6*((N487*O487)+(N487+P487)*(O487+Q487)+(P487*Q487))</f>
        <v>312.76799999999997</v>
      </c>
      <c r="T487" s="1071"/>
      <c r="U487" s="1072" t="s">
        <v>357</v>
      </c>
      <c r="V487" s="17">
        <f>+Y472</f>
        <v>12</v>
      </c>
      <c r="W487" s="1073">
        <f>+Y476</f>
        <v>0</v>
      </c>
      <c r="X487" s="17" t="e">
        <f>+(Y474+Y475)*2</f>
        <v>#REF!</v>
      </c>
      <c r="Y487" s="1074" t="e">
        <f t="shared" si="27"/>
        <v>#REF!</v>
      </c>
      <c r="Z487" s="20" t="e">
        <f>+Y487+Y488</f>
        <v>#REF!</v>
      </c>
      <c r="AA487" s="21" t="e">
        <f>+X487+X488</f>
        <v>#REF!</v>
      </c>
      <c r="AB487" s="1103" t="s">
        <v>358</v>
      </c>
      <c r="AC487" s="1104"/>
      <c r="AD487" s="17"/>
      <c r="AE487" s="17"/>
      <c r="AF487" s="17"/>
      <c r="AG487" s="31"/>
      <c r="AH487" s="17"/>
      <c r="AI487"/>
      <c r="AJ487" s="14"/>
      <c r="AK487" s="13"/>
      <c r="AL487" s="13"/>
      <c r="AM487" s="14"/>
      <c r="AN487" s="13"/>
      <c r="AO487" s="13"/>
    </row>
    <row r="488" spans="1:41" ht="19.899999999999999" customHeight="1" thickBo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7"/>
      <c r="M488" s="57" t="s">
        <v>359</v>
      </c>
      <c r="N488" s="1105">
        <f>N480</f>
        <v>5</v>
      </c>
      <c r="O488" s="1105">
        <f>O480</f>
        <v>6</v>
      </c>
      <c r="P488" s="1106">
        <f>N488+R488*2</f>
        <v>6</v>
      </c>
      <c r="Q488" s="1106">
        <f>O488+R488*2</f>
        <v>7</v>
      </c>
      <c r="R488" s="1106">
        <v>0.5</v>
      </c>
      <c r="S488" s="1102">
        <f>(R488/6*((N488*O488)+(N488+P488)*(O488+Q488)+(P488*Q488)))-(N483*O483*R488*4)</f>
        <v>15.916666666666664</v>
      </c>
      <c r="T488" s="1071"/>
      <c r="U488" s="1072" t="s">
        <v>360</v>
      </c>
      <c r="V488" s="992">
        <f>+Z472</f>
        <v>12</v>
      </c>
      <c r="W488" s="1073">
        <f>+Z476</f>
        <v>0</v>
      </c>
      <c r="X488" s="1068" t="e">
        <f>+(Z474+Z475)*2</f>
        <v>#REF!</v>
      </c>
      <c r="Y488" s="1074" t="e">
        <f t="shared" si="27"/>
        <v>#REF!</v>
      </c>
      <c r="Z488" s="22"/>
      <c r="AA488" s="21"/>
      <c r="AB488" s="1103" t="s">
        <v>361</v>
      </c>
      <c r="AC488" s="17"/>
      <c r="AD488" s="17"/>
      <c r="AE488" s="17"/>
      <c r="AF488" s="17"/>
      <c r="AG488" s="31"/>
      <c r="AH488" s="17"/>
      <c r="AI488" s="13"/>
      <c r="AJ488" s="14"/>
      <c r="AK488" s="13"/>
      <c r="AL488" s="23"/>
      <c r="AM488" s="13"/>
      <c r="AN488" s="13"/>
      <c r="AO488" s="14"/>
    </row>
    <row r="489" spans="1:41" ht="19.899999999999999" customHeight="1" thickBo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7"/>
      <c r="M489" s="57" t="s">
        <v>362</v>
      </c>
      <c r="N489" s="1106"/>
      <c r="O489" s="1106"/>
      <c r="P489" s="1106"/>
      <c r="Q489" s="1106"/>
      <c r="R489" s="1106"/>
      <c r="S489" s="1107" t="e">
        <f>S487-S486-S485-S484+S488+(N483*O483*(1-R488)*4)</f>
        <v>#REF!</v>
      </c>
      <c r="T489" s="1071"/>
      <c r="U489" s="1072" t="s">
        <v>363</v>
      </c>
      <c r="V489" s="992">
        <f>+AC472</f>
        <v>12</v>
      </c>
      <c r="W489" s="1108">
        <f>+AC476</f>
        <v>0</v>
      </c>
      <c r="X489" s="1068" t="e">
        <f>+(AC474+AC475)*2</f>
        <v>#REF!</v>
      </c>
      <c r="Y489" s="1074" t="e">
        <f t="shared" si="27"/>
        <v>#REF!</v>
      </c>
      <c r="Z489" s="20"/>
      <c r="AA489" s="21"/>
      <c r="AB489" s="1103" t="s">
        <v>364</v>
      </c>
      <c r="AC489" s="24"/>
      <c r="AD489" s="17"/>
      <c r="AE489" s="17"/>
      <c r="AF489" s="17"/>
      <c r="AG489" s="31"/>
      <c r="AH489" s="17"/>
      <c r="AI489" s="13"/>
      <c r="AJ489" s="14"/>
      <c r="AK489" s="13"/>
      <c r="AL489" s="15"/>
      <c r="AM489" s="13"/>
      <c r="AN489" s="13"/>
      <c r="AO489" s="13"/>
    </row>
    <row r="490" spans="1:41" ht="19.899999999999999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7"/>
      <c r="M490" s="69"/>
      <c r="N490" s="1059"/>
      <c r="O490" s="1059"/>
      <c r="P490" s="1059"/>
      <c r="Q490" s="1059"/>
      <c r="R490" s="1059"/>
      <c r="S490" s="1109"/>
      <c r="T490" s="1071"/>
      <c r="U490" s="1072" t="s">
        <v>365</v>
      </c>
      <c r="V490" s="992">
        <f>+AD472</f>
        <v>12</v>
      </c>
      <c r="W490" s="1108">
        <f>+AD476</f>
        <v>0</v>
      </c>
      <c r="X490" s="1068" t="e">
        <f>+(AD474+AD475)*2</f>
        <v>#REF!</v>
      </c>
      <c r="Y490" s="1074" t="e">
        <f t="shared" si="27"/>
        <v>#REF!</v>
      </c>
      <c r="Z490" s="43"/>
      <c r="AA490" s="21"/>
      <c r="AB490" s="1103" t="s">
        <v>366</v>
      </c>
      <c r="AC490" s="24"/>
      <c r="AD490" s="17"/>
      <c r="AE490" s="17"/>
      <c r="AF490" s="17"/>
      <c r="AG490" s="31"/>
      <c r="AH490" s="17"/>
      <c r="AI490" s="13"/>
      <c r="AJ490" s="14"/>
      <c r="AK490" s="13"/>
      <c r="AL490" s="15"/>
      <c r="AM490" s="13"/>
      <c r="AN490" s="13"/>
      <c r="AO490" s="13"/>
    </row>
    <row r="491" spans="1:41" ht="19.899999999999999" customHeight="1" thickBo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7"/>
      <c r="M491" s="70" t="s">
        <v>367</v>
      </c>
      <c r="N491" s="30"/>
      <c r="O491" s="30"/>
      <c r="P491" s="30"/>
      <c r="Q491" s="30"/>
      <c r="R491" s="30"/>
      <c r="S491" s="1104"/>
      <c r="T491" s="1071"/>
      <c r="U491" s="1072">
        <v>5</v>
      </c>
      <c r="V491" s="1068">
        <f>+U472</f>
        <v>12</v>
      </c>
      <c r="W491" s="1073">
        <f>+U476</f>
        <v>2.7</v>
      </c>
      <c r="X491" s="1068">
        <f>+U474*4</f>
        <v>4</v>
      </c>
      <c r="Y491" s="1074">
        <f t="shared" si="27"/>
        <v>10.8</v>
      </c>
      <c r="Z491" s="30"/>
      <c r="AA491" s="17"/>
      <c r="AB491" s="1094" t="s">
        <v>368</v>
      </c>
      <c r="AC491" s="1095"/>
      <c r="AD491" s="17"/>
      <c r="AE491" s="17"/>
      <c r="AF491" s="17"/>
      <c r="AG491" s="31"/>
      <c r="AH491" s="17"/>
      <c r="AI491" s="13"/>
      <c r="AJ491" s="13"/>
      <c r="AK491" s="13"/>
      <c r="AL491" s="13"/>
      <c r="AM491" s="13"/>
      <c r="AN491" s="13"/>
      <c r="AO491" s="13"/>
    </row>
    <row r="492" spans="1:41" ht="19.899999999999999" customHeight="1" thickBo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7"/>
      <c r="M492" s="59" t="s">
        <v>56</v>
      </c>
      <c r="N492" s="1110" t="s">
        <v>338</v>
      </c>
      <c r="O492" s="1110" t="s">
        <v>369</v>
      </c>
      <c r="P492" s="1110" t="s">
        <v>370</v>
      </c>
      <c r="Q492" s="1111" t="s">
        <v>340</v>
      </c>
      <c r="R492" s="1112" t="s">
        <v>371</v>
      </c>
      <c r="S492" s="1104"/>
      <c r="T492" s="1071"/>
      <c r="U492" s="1072">
        <v>6</v>
      </c>
      <c r="V492" s="1090">
        <f>+V472</f>
        <v>12</v>
      </c>
      <c r="W492" s="1091">
        <f>+V476</f>
        <v>4.8499999999999996</v>
      </c>
      <c r="X492" s="1092" t="e">
        <f>+(V475+V474)*2+S467</f>
        <v>#REF!</v>
      </c>
      <c r="Y492" s="1093" t="e">
        <f t="shared" si="27"/>
        <v>#REF!</v>
      </c>
      <c r="Z492" s="20" t="e">
        <f>+Y492+Y493</f>
        <v>#REF!</v>
      </c>
      <c r="AA492" s="21" t="e">
        <f>+X492+X493</f>
        <v>#REF!</v>
      </c>
      <c r="AB492" s="1094" t="s">
        <v>372</v>
      </c>
      <c r="AC492" s="1095"/>
      <c r="AD492" s="17"/>
      <c r="AE492" s="17"/>
      <c r="AF492" s="17"/>
      <c r="AG492" s="31"/>
      <c r="AH492" s="17"/>
      <c r="AI492" s="13"/>
      <c r="AJ492" s="13"/>
      <c r="AK492" s="13"/>
      <c r="AL492" s="13"/>
      <c r="AM492" s="13"/>
      <c r="AN492" s="13"/>
      <c r="AO492" s="13"/>
    </row>
    <row r="493" spans="1:41" ht="19.899999999999999" customHeight="1" thickBo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7"/>
      <c r="M493" s="42">
        <v>25</v>
      </c>
      <c r="N493" s="1113">
        <f t="shared" ref="N493:N501" si="28">+SUMIF($V$480:$V$505,M493,$Y$480:$Y$505)</f>
        <v>0</v>
      </c>
      <c r="O493" s="1114">
        <f>+M493^2*3.14/1000000*7850/4</f>
        <v>3.8514062499999997</v>
      </c>
      <c r="P493" s="1115">
        <f t="shared" ref="P493:P501" si="29">+ROUND(N493*O493,2)</f>
        <v>0</v>
      </c>
      <c r="Q493" s="1116" t="e">
        <f>+SUM(P493:P501)</f>
        <v>#REF!</v>
      </c>
      <c r="R493" s="977" t="e">
        <f>+Q493/S484</f>
        <v>#REF!</v>
      </c>
      <c r="S493" s="30"/>
      <c r="T493" s="1071"/>
      <c r="U493" s="1072">
        <v>6</v>
      </c>
      <c r="V493" s="1099">
        <f>+W472</f>
        <v>12</v>
      </c>
      <c r="W493" s="1100">
        <f>+W476</f>
        <v>4.8499999999999996</v>
      </c>
      <c r="X493" s="1099" t="e">
        <f>+(W475+W474)*2</f>
        <v>#REF!</v>
      </c>
      <c r="Y493" s="1101" t="e">
        <f t="shared" si="27"/>
        <v>#REF!</v>
      </c>
      <c r="Z493" s="20"/>
      <c r="AA493" s="21"/>
      <c r="AB493" s="1094" t="s">
        <v>373</v>
      </c>
      <c r="AC493" s="1095"/>
      <c r="AD493" s="17"/>
      <c r="AE493" s="17"/>
      <c r="AF493" s="17"/>
      <c r="AG493" s="31"/>
      <c r="AH493" s="17"/>
      <c r="AI493" s="13"/>
      <c r="AJ493" s="13"/>
      <c r="AK493" s="13"/>
      <c r="AL493" s="13"/>
      <c r="AM493" s="13"/>
      <c r="AN493" s="13"/>
      <c r="AO493" s="13"/>
    </row>
    <row r="494" spans="1:41" ht="19.899999999999999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7"/>
      <c r="M494" s="33">
        <v>22</v>
      </c>
      <c r="N494" s="1117">
        <f t="shared" si="28"/>
        <v>0</v>
      </c>
      <c r="O494" s="1118">
        <f>+M494^2*3.14/1000000*7850/4</f>
        <v>2.982529</v>
      </c>
      <c r="P494" s="1119">
        <f t="shared" si="29"/>
        <v>0</v>
      </c>
      <c r="Q494" s="32"/>
      <c r="R494" s="30"/>
      <c r="S494" s="30"/>
      <c r="T494" s="1071"/>
      <c r="U494" s="1072" t="s">
        <v>374</v>
      </c>
      <c r="V494" s="17">
        <f>+AA472</f>
        <v>12</v>
      </c>
      <c r="W494" s="1120">
        <f>+AA476</f>
        <v>0</v>
      </c>
      <c r="X494" s="17" t="e">
        <f>+(AA474+AA475)*2</f>
        <v>#REF!</v>
      </c>
      <c r="Y494" s="1074" t="e">
        <f t="shared" si="27"/>
        <v>#REF!</v>
      </c>
      <c r="Z494" s="20" t="e">
        <f>+Y494+Y495</f>
        <v>#REF!</v>
      </c>
      <c r="AA494" s="21" t="e">
        <f>+X494+X495</f>
        <v>#REF!</v>
      </c>
      <c r="AB494" s="1103" t="s">
        <v>358</v>
      </c>
      <c r="AC494" s="1095"/>
      <c r="AD494" s="17"/>
      <c r="AE494" s="17"/>
      <c r="AF494" s="17"/>
      <c r="AG494" s="31"/>
      <c r="AH494" s="17"/>
      <c r="AI494" s="13"/>
      <c r="AJ494" s="13"/>
      <c r="AK494" s="13"/>
      <c r="AL494" s="13"/>
      <c r="AM494" s="13"/>
      <c r="AN494" s="13"/>
      <c r="AO494" s="13"/>
    </row>
    <row r="495" spans="1:41" ht="19.899999999999999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7"/>
      <c r="M495" s="33">
        <v>20</v>
      </c>
      <c r="N495" s="1117" t="e">
        <f t="shared" si="28"/>
        <v>#REF!</v>
      </c>
      <c r="O495" s="1118">
        <f t="shared" ref="O495:O501" si="30">+M495^2*3.14/1000000*7850/4</f>
        <v>2.4649000000000001</v>
      </c>
      <c r="P495" s="1119" t="e">
        <f t="shared" si="29"/>
        <v>#REF!</v>
      </c>
      <c r="Q495" s="32"/>
      <c r="R495" s="1121"/>
      <c r="S495" s="30"/>
      <c r="T495" s="1071"/>
      <c r="U495" s="1072" t="s">
        <v>375</v>
      </c>
      <c r="V495" s="992">
        <f>+AB472</f>
        <v>12</v>
      </c>
      <c r="W495" s="1108">
        <f>+AB476</f>
        <v>0</v>
      </c>
      <c r="X495" s="1068" t="e">
        <f>+(AB474+AB475)*2</f>
        <v>#REF!</v>
      </c>
      <c r="Y495" s="1074" t="e">
        <f t="shared" si="27"/>
        <v>#REF!</v>
      </c>
      <c r="Z495" s="22"/>
      <c r="AA495" s="21"/>
      <c r="AB495" s="1103" t="s">
        <v>361</v>
      </c>
      <c r="AC495" s="17"/>
      <c r="AD495" s="17"/>
      <c r="AE495" s="17"/>
      <c r="AF495" s="17"/>
      <c r="AG495" s="31"/>
      <c r="AH495" s="17"/>
      <c r="AI495" s="13"/>
      <c r="AJ495" s="13"/>
      <c r="AK495" s="13"/>
      <c r="AL495" s="13"/>
      <c r="AM495" s="13"/>
      <c r="AN495" s="13"/>
      <c r="AO495" s="13"/>
    </row>
    <row r="496" spans="1:41" ht="19.899999999999999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7"/>
      <c r="M496" s="60">
        <v>18</v>
      </c>
      <c r="N496" s="1117">
        <f t="shared" si="28"/>
        <v>0</v>
      </c>
      <c r="O496" s="1118">
        <f t="shared" si="30"/>
        <v>1.9965689999999998</v>
      </c>
      <c r="P496" s="1119">
        <f t="shared" si="29"/>
        <v>0</v>
      </c>
      <c r="Q496" s="35"/>
      <c r="R496" s="30"/>
      <c r="S496" s="30"/>
      <c r="T496" s="1071"/>
      <c r="U496" s="1072" t="s">
        <v>376</v>
      </c>
      <c r="V496" s="992">
        <f>+AE472</f>
        <v>12</v>
      </c>
      <c r="W496" s="1108">
        <f>+AE476</f>
        <v>0</v>
      </c>
      <c r="X496" s="1068" t="e">
        <f>+(AE474+AE475)*2</f>
        <v>#REF!</v>
      </c>
      <c r="Y496" s="1074" t="e">
        <f t="shared" si="27"/>
        <v>#REF!</v>
      </c>
      <c r="Z496" s="17"/>
      <c r="AA496" s="17"/>
      <c r="AB496" s="1103" t="s">
        <v>364</v>
      </c>
      <c r="AC496" s="1095"/>
      <c r="AD496" s="17"/>
      <c r="AE496" s="17"/>
      <c r="AF496" s="17"/>
      <c r="AG496" s="31"/>
      <c r="AH496" s="17"/>
      <c r="AI496" s="13"/>
      <c r="AJ496" s="13"/>
      <c r="AK496" s="13"/>
      <c r="AL496" s="13"/>
      <c r="AM496" s="13"/>
      <c r="AN496" s="13"/>
      <c r="AO496" s="13"/>
    </row>
    <row r="497" spans="1:41" ht="19.899999999999999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7"/>
      <c r="M497" s="33">
        <v>16</v>
      </c>
      <c r="N497" s="1117">
        <f t="shared" si="28"/>
        <v>0</v>
      </c>
      <c r="O497" s="1118">
        <f t="shared" si="30"/>
        <v>1.577536</v>
      </c>
      <c r="P497" s="1119">
        <f t="shared" si="29"/>
        <v>0</v>
      </c>
      <c r="Q497" s="32"/>
      <c r="R497" s="1121"/>
      <c r="S497" s="30"/>
      <c r="T497" s="1071"/>
      <c r="U497" s="1072" t="s">
        <v>407</v>
      </c>
      <c r="V497" s="992">
        <f>+AF472</f>
        <v>12</v>
      </c>
      <c r="W497" s="1108">
        <f>+AF476</f>
        <v>0</v>
      </c>
      <c r="X497" s="1068" t="e">
        <f>+(AF474+AF475)*2</f>
        <v>#REF!</v>
      </c>
      <c r="Y497" s="1074" t="e">
        <f t="shared" si="27"/>
        <v>#REF!</v>
      </c>
      <c r="Z497" s="17"/>
      <c r="AA497" s="17"/>
      <c r="AB497" s="1103" t="s">
        <v>366</v>
      </c>
      <c r="AC497" s="1095"/>
      <c r="AD497" s="17"/>
      <c r="AE497" s="17"/>
      <c r="AF497" s="17"/>
      <c r="AG497" s="31"/>
      <c r="AH497" s="17"/>
      <c r="AI497" s="13"/>
      <c r="AJ497" s="13"/>
      <c r="AK497" s="13"/>
      <c r="AL497" s="13"/>
      <c r="AM497" s="13"/>
      <c r="AN497" s="13"/>
      <c r="AO497" s="13"/>
    </row>
    <row r="498" spans="1:41" ht="19.899999999999999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7"/>
      <c r="M498" s="60">
        <v>14</v>
      </c>
      <c r="N498" s="1117">
        <f t="shared" si="28"/>
        <v>0</v>
      </c>
      <c r="O498" s="1118">
        <f t="shared" si="30"/>
        <v>1.2078010000000001</v>
      </c>
      <c r="P498" s="1119">
        <f t="shared" si="29"/>
        <v>0</v>
      </c>
      <c r="Q498" s="35"/>
      <c r="R498" s="1121"/>
      <c r="S498" s="30"/>
      <c r="T498" s="1071"/>
      <c r="U498" s="1072">
        <v>7</v>
      </c>
      <c r="V498" s="992">
        <f>+X472</f>
        <v>12</v>
      </c>
      <c r="W498" s="1073">
        <f>+X476</f>
        <v>2.2000000000000002</v>
      </c>
      <c r="X498" s="1068">
        <f>+X474*4</f>
        <v>4</v>
      </c>
      <c r="Y498" s="1074">
        <f t="shared" si="27"/>
        <v>8.8000000000000007</v>
      </c>
      <c r="Z498" s="30"/>
      <c r="AA498" s="30"/>
      <c r="AB498" s="1094" t="s">
        <v>377</v>
      </c>
      <c r="AC498" s="1095"/>
      <c r="AD498" s="17"/>
      <c r="AE498" s="17"/>
      <c r="AF498" s="17"/>
      <c r="AG498" s="31"/>
      <c r="AH498" s="17"/>
      <c r="AI498" s="13"/>
      <c r="AJ498" s="13"/>
      <c r="AK498" s="13"/>
      <c r="AL498" s="13"/>
      <c r="AM498" s="13"/>
      <c r="AN498" s="13"/>
      <c r="AO498" s="13"/>
    </row>
    <row r="499" spans="1:41" ht="19.899999999999999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7"/>
      <c r="M499" s="60">
        <v>12</v>
      </c>
      <c r="N499" s="1117" t="e">
        <f t="shared" si="28"/>
        <v>#REF!</v>
      </c>
      <c r="O499" s="1118">
        <f t="shared" si="30"/>
        <v>0.88736400000000004</v>
      </c>
      <c r="P499" s="1119" t="e">
        <f t="shared" si="29"/>
        <v>#REF!</v>
      </c>
      <c r="Q499" s="35"/>
      <c r="R499" s="17"/>
      <c r="S499" s="30"/>
      <c r="T499" s="1071"/>
      <c r="U499" s="1072">
        <v>8</v>
      </c>
      <c r="V499" s="992">
        <v>10</v>
      </c>
      <c r="W499" s="1073">
        <f>+O462-2*O468-2*S472/1000+0.1</f>
        <v>0.42599999999999993</v>
      </c>
      <c r="X499" s="1068" t="e">
        <f>+ROUND(S474/2-0.5,0)*ROUND(V474/2-0.5,0)*4+ROUND(S474/2-0.5,0)*ROUND(W474/2-0.5,0)*4+ROUND(T474/2-0.5,0)*ROUND(V474/2-0.5,0)*4+ROUND(T474/2-0.5,0)*ROUND(W474/2-0.5,0)*4+ROUND(U474/2-0.5,0)*(ROUND(V474/2-0.5,0)+ROUND(W474/2-0.5,0))*2+ROUND(X474/2-0.5,0)*(ROUND(S474/2-0.5,0)+ROUND(T474/2-0.5,0))*2</f>
        <v>#REF!</v>
      </c>
      <c r="Y499" s="1074" t="e">
        <f t="shared" si="27"/>
        <v>#REF!</v>
      </c>
      <c r="Z499" s="30">
        <f>+O462-2*O468-2*S472/1000</f>
        <v>0.32599999999999996</v>
      </c>
      <c r="AA499" s="30"/>
      <c r="AB499" s="1094" t="s">
        <v>378</v>
      </c>
      <c r="AC499" s="1095"/>
      <c r="AD499" s="17"/>
      <c r="AE499" s="17"/>
      <c r="AF499" s="17"/>
      <c r="AG499" s="31"/>
      <c r="AH499" s="17"/>
      <c r="AI499" s="13"/>
      <c r="AJ499" s="13"/>
      <c r="AK499" s="13"/>
      <c r="AL499" s="13"/>
      <c r="AM499" s="13"/>
      <c r="AN499" s="13"/>
      <c r="AO499" s="13"/>
    </row>
    <row r="500" spans="1:41" ht="19.899999999999999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7"/>
      <c r="M500" s="60">
        <v>10</v>
      </c>
      <c r="N500" s="1117" t="e">
        <f t="shared" si="28"/>
        <v>#REF!</v>
      </c>
      <c r="O500" s="1118">
        <f t="shared" si="30"/>
        <v>0.61622500000000002</v>
      </c>
      <c r="P500" s="1119" t="e">
        <f t="shared" si="29"/>
        <v>#REF!</v>
      </c>
      <c r="Q500" s="35"/>
      <c r="R500" s="1122"/>
      <c r="S500" s="30"/>
      <c r="T500" s="1071"/>
      <c r="U500" s="1072">
        <v>9</v>
      </c>
      <c r="V500" s="1123">
        <v>8</v>
      </c>
      <c r="W500" s="1073" t="e">
        <f>+(O466-2*O468+0.02)*2+(O463-2*O468+0.02)*2+0.06*2</f>
        <v>#REF!</v>
      </c>
      <c r="X500" s="1124" t="e">
        <f>+S468+4</f>
        <v>#REF!</v>
      </c>
      <c r="Y500" s="1074" t="e">
        <f t="shared" si="27"/>
        <v>#REF!</v>
      </c>
      <c r="Z500" s="30" t="e">
        <f>+(O466-2*O468+0.02)</f>
        <v>#REF!</v>
      </c>
      <c r="AA500" s="30" t="e">
        <f>+(O463-2*O468+0.02)</f>
        <v>#REF!</v>
      </c>
      <c r="AB500" s="1094" t="s">
        <v>379</v>
      </c>
      <c r="AC500" s="1095"/>
      <c r="AD500" s="17"/>
      <c r="AE500" s="17"/>
      <c r="AF500" s="17"/>
      <c r="AG500" s="31"/>
      <c r="AH500" s="17"/>
      <c r="AI500" s="13"/>
      <c r="AJ500" s="13"/>
      <c r="AK500" s="13"/>
      <c r="AL500" s="13"/>
      <c r="AM500" s="13"/>
      <c r="AN500" s="13"/>
      <c r="AO500" s="13"/>
    </row>
    <row r="501" spans="1:41" ht="19.899999999999999" customHeight="1" thickBo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7"/>
      <c r="M501" s="61">
        <v>8</v>
      </c>
      <c r="N501" s="1125" t="e">
        <f t="shared" si="28"/>
        <v>#REF!</v>
      </c>
      <c r="O501" s="1126">
        <f t="shared" si="30"/>
        <v>0.39438400000000001</v>
      </c>
      <c r="P501" s="1127" t="e">
        <f t="shared" si="29"/>
        <v>#REF!</v>
      </c>
      <c r="Q501" s="1128"/>
      <c r="R501" s="17"/>
      <c r="S501" s="30"/>
      <c r="T501" s="1071"/>
      <c r="U501" s="1072" t="s">
        <v>380</v>
      </c>
      <c r="V501" s="1123">
        <v>8</v>
      </c>
      <c r="W501" s="1073" t="e">
        <f>+AA501*2+Z501*2+0.12</f>
        <v>#REF!</v>
      </c>
      <c r="X501" s="1124">
        <v>0</v>
      </c>
      <c r="Y501" s="1074" t="e">
        <f t="shared" si="27"/>
        <v>#REF!</v>
      </c>
      <c r="Z501" s="1129">
        <v>0</v>
      </c>
      <c r="AA501" s="30" t="e">
        <f>+(O463-2*O468+0.02)</f>
        <v>#REF!</v>
      </c>
      <c r="AB501" s="1094" t="s">
        <v>381</v>
      </c>
      <c r="AC501" s="1095"/>
      <c r="AD501" s="17"/>
      <c r="AE501" s="17"/>
      <c r="AF501" s="17"/>
      <c r="AG501" s="31"/>
      <c r="AH501" s="17"/>
      <c r="AI501" s="13"/>
      <c r="AJ501" s="13"/>
      <c r="AK501" s="13"/>
      <c r="AL501" s="13"/>
      <c r="AM501" s="13"/>
      <c r="AN501" s="13"/>
      <c r="AO501" s="13"/>
    </row>
    <row r="502" spans="1:41" ht="19.899999999999999" customHeight="1" thickBo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7"/>
      <c r="M502" s="71"/>
      <c r="N502" s="1130"/>
      <c r="O502" s="1130"/>
      <c r="P502" s="978"/>
      <c r="Q502" s="1131"/>
      <c r="R502" s="17"/>
      <c r="S502" s="30"/>
      <c r="T502" s="1071"/>
      <c r="U502" s="1072" t="s">
        <v>382</v>
      </c>
      <c r="V502" s="1123">
        <v>8</v>
      </c>
      <c r="W502" s="1073">
        <f>+Z502+0.12</f>
        <v>0.12</v>
      </c>
      <c r="X502" s="1124">
        <f>+X501*2</f>
        <v>0</v>
      </c>
      <c r="Y502" s="1074">
        <f t="shared" si="27"/>
        <v>0</v>
      </c>
      <c r="Z502" s="1129">
        <v>0</v>
      </c>
      <c r="AA502" s="30"/>
      <c r="AB502" s="1094" t="s">
        <v>383</v>
      </c>
      <c r="AC502" s="1095"/>
      <c r="AD502" s="17"/>
      <c r="AE502" s="17"/>
      <c r="AF502" s="17"/>
      <c r="AG502" s="31"/>
      <c r="AH502" s="17"/>
      <c r="AI502" s="13"/>
      <c r="AJ502" s="13"/>
      <c r="AK502" s="13"/>
      <c r="AL502" s="13"/>
      <c r="AM502" s="13"/>
      <c r="AN502" s="13"/>
      <c r="AO502" s="13"/>
    </row>
    <row r="503" spans="1:41" ht="19.899999999999999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7"/>
      <c r="M503" s="65"/>
      <c r="N503" s="17"/>
      <c r="O503" s="17"/>
      <c r="P503" s="1132"/>
      <c r="Q503" s="17"/>
      <c r="R503" s="17"/>
      <c r="S503" s="30"/>
      <c r="T503" s="1071"/>
      <c r="U503" s="1072">
        <v>10</v>
      </c>
      <c r="V503" s="1133">
        <v>8</v>
      </c>
      <c r="W503" s="1073">
        <f>+(O465-2*O468+0.02)*4+0.06*2</f>
        <v>3.6</v>
      </c>
      <c r="X503" s="1134">
        <f>+(ROUND((O464-0.175)/0.25-0.5,0)+2)*4</f>
        <v>60</v>
      </c>
      <c r="Y503" s="1074">
        <f t="shared" si="27"/>
        <v>216</v>
      </c>
      <c r="Z503" s="30">
        <f>+O465-2*O468+0.02</f>
        <v>0.87</v>
      </c>
      <c r="AA503" s="30"/>
      <c r="AB503" s="17"/>
      <c r="AC503" s="17"/>
      <c r="AD503" s="17"/>
      <c r="AE503" s="17"/>
      <c r="AF503" s="17"/>
      <c r="AG503" s="31"/>
      <c r="AH503" s="17"/>
      <c r="AI503" s="13"/>
      <c r="AJ503" s="13"/>
      <c r="AK503" s="13"/>
      <c r="AL503" s="13"/>
      <c r="AM503" s="13"/>
      <c r="AN503" s="13"/>
      <c r="AO503" s="13"/>
    </row>
    <row r="504" spans="1:41" ht="19.899999999999999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7"/>
      <c r="M504" s="65"/>
      <c r="N504" s="17"/>
      <c r="O504" s="17"/>
      <c r="P504" s="1132"/>
      <c r="Q504" s="17"/>
      <c r="R504" s="17"/>
      <c r="S504" s="17"/>
      <c r="T504" s="1071"/>
      <c r="U504" s="1072">
        <v>11</v>
      </c>
      <c r="V504" s="1133">
        <v>8</v>
      </c>
      <c r="W504" s="1073">
        <f>Z504*4+AA504*4+0.06*2</f>
        <v>2.92</v>
      </c>
      <c r="X504" s="1068">
        <f>+X503-4*2</f>
        <v>52</v>
      </c>
      <c r="Y504" s="1074">
        <f t="shared" si="27"/>
        <v>151.84</v>
      </c>
      <c r="Z504" s="1135">
        <v>0.7</v>
      </c>
      <c r="AA504" s="1135">
        <v>0</v>
      </c>
      <c r="AB504" s="17"/>
      <c r="AC504" s="17"/>
      <c r="AD504" s="17"/>
      <c r="AE504" s="17"/>
      <c r="AF504" s="17"/>
      <c r="AG504" s="31"/>
      <c r="AH504" s="17"/>
      <c r="AI504" s="13"/>
      <c r="AJ504" s="13"/>
      <c r="AK504" s="13"/>
      <c r="AL504" s="13"/>
      <c r="AM504" s="13"/>
      <c r="AN504" s="13"/>
      <c r="AO504" s="13"/>
    </row>
    <row r="505" spans="1:41" ht="19.899999999999999" customHeight="1" thickBo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7"/>
      <c r="M505" s="65"/>
      <c r="N505" s="17"/>
      <c r="O505" s="17"/>
      <c r="P505" s="17"/>
      <c r="Q505" s="17"/>
      <c r="R505" s="17"/>
      <c r="S505" s="17"/>
      <c r="T505" s="1136"/>
      <c r="U505" s="1137">
        <v>12</v>
      </c>
      <c r="V505" s="1138">
        <v>10</v>
      </c>
      <c r="W505" s="1139">
        <f>+O465+0.04</f>
        <v>1.04</v>
      </c>
      <c r="X505" s="1140">
        <f>+R469*4</f>
        <v>144</v>
      </c>
      <c r="Y505" s="1141">
        <f t="shared" si="27"/>
        <v>149.76</v>
      </c>
      <c r="Z505" s="1066"/>
      <c r="AA505" s="1066"/>
      <c r="AB505" s="30"/>
      <c r="AC505" s="30"/>
      <c r="AD505" s="17"/>
      <c r="AE505" s="17"/>
      <c r="AF505" s="17"/>
      <c r="AG505" s="31"/>
      <c r="AH505" s="17"/>
      <c r="AI505" s="13"/>
      <c r="AJ505" s="13"/>
      <c r="AK505" s="13"/>
      <c r="AL505" s="13"/>
      <c r="AM505" s="13"/>
      <c r="AN505" s="13"/>
      <c r="AO505" s="13"/>
    </row>
    <row r="506" spans="1:41" ht="19.899999999999999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7"/>
      <c r="M506" s="65"/>
      <c r="N506" s="17"/>
      <c r="O506" s="17"/>
      <c r="P506" s="17"/>
      <c r="Q506" s="17"/>
      <c r="R506" s="17"/>
      <c r="S506" s="17"/>
      <c r="T506" s="1059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31"/>
      <c r="AH506" s="17"/>
      <c r="AI506" s="13"/>
      <c r="AJ506" s="13"/>
      <c r="AK506" s="13"/>
      <c r="AL506" s="13"/>
      <c r="AM506" s="13"/>
      <c r="AN506" s="13"/>
      <c r="AO506" s="13"/>
    </row>
    <row r="507" spans="1:41" ht="19.899999999999999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7"/>
      <c r="M507" s="71"/>
      <c r="N507" s="1066"/>
      <c r="O507" s="1130"/>
      <c r="P507" s="978"/>
      <c r="Q507" s="30"/>
      <c r="R507" s="17"/>
      <c r="S507" s="30"/>
      <c r="T507" s="1059"/>
      <c r="U507" s="17"/>
      <c r="V507" s="17"/>
      <c r="W507" s="17"/>
      <c r="X507" s="17"/>
      <c r="Y507" s="17"/>
      <c r="Z507" s="17"/>
      <c r="AA507" s="17"/>
      <c r="AB507" s="17"/>
      <c r="AC507" s="17"/>
      <c r="AD507" s="30"/>
      <c r="AE507" s="30"/>
      <c r="AF507" s="17"/>
      <c r="AG507" s="31"/>
      <c r="AH507" s="17"/>
      <c r="AI507" s="13"/>
      <c r="AJ507" s="13"/>
      <c r="AK507" s="13"/>
      <c r="AL507" s="13"/>
      <c r="AM507" s="13"/>
      <c r="AN507" s="13"/>
      <c r="AO507" s="13"/>
    </row>
    <row r="508" spans="1:41" ht="19.899999999999999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7"/>
      <c r="M508" s="65"/>
      <c r="N508" s="17"/>
      <c r="O508" s="17"/>
      <c r="P508" s="17"/>
      <c r="Q508" s="17"/>
      <c r="R508" s="17"/>
      <c r="S508" s="30"/>
      <c r="T508" s="1059"/>
      <c r="U508" s="17"/>
      <c r="V508" s="17"/>
      <c r="W508" s="17"/>
      <c r="X508" s="17"/>
      <c r="Y508" s="17"/>
      <c r="Z508" s="17"/>
      <c r="AA508" s="17"/>
      <c r="AB508" s="17"/>
      <c r="AC508" s="17"/>
      <c r="AD508" s="30"/>
      <c r="AE508" s="30"/>
      <c r="AF508" s="17"/>
      <c r="AG508" s="31"/>
      <c r="AH508" s="17"/>
      <c r="AI508" s="13"/>
      <c r="AJ508" s="13"/>
      <c r="AK508" s="13"/>
      <c r="AL508" s="13"/>
      <c r="AM508" s="13"/>
      <c r="AN508" s="13"/>
      <c r="AO508" s="13"/>
    </row>
    <row r="509" spans="1:41" ht="19.899999999999999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7"/>
      <c r="M509" s="65"/>
      <c r="N509" s="17"/>
      <c r="O509" s="17"/>
      <c r="P509" s="17"/>
      <c r="Q509" s="17"/>
      <c r="R509" s="17"/>
      <c r="S509" s="30"/>
      <c r="T509" s="17"/>
      <c r="U509" s="17"/>
      <c r="V509" s="17"/>
      <c r="W509" s="17"/>
      <c r="X509" s="17"/>
      <c r="Y509" s="17"/>
      <c r="Z509" s="17"/>
      <c r="AA509" s="17"/>
      <c r="AB509" s="30"/>
      <c r="AC509" s="30"/>
      <c r="AD509" s="30"/>
      <c r="AE509" s="30"/>
      <c r="AF509" s="17"/>
      <c r="AG509" s="31"/>
      <c r="AH509" s="17"/>
      <c r="AI509" s="13"/>
      <c r="AJ509" s="13"/>
      <c r="AK509" s="13"/>
      <c r="AL509" s="13"/>
      <c r="AM509" s="13"/>
      <c r="AN509" s="13"/>
      <c r="AO509" s="13"/>
    </row>
    <row r="510" spans="1:41" ht="19.899999999999999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7"/>
      <c r="M510" s="72" t="s">
        <v>384</v>
      </c>
      <c r="N510" s="1142">
        <v>1</v>
      </c>
      <c r="O510" s="1142">
        <v>2.5</v>
      </c>
      <c r="P510" s="1143">
        <f>+O464-O462</f>
        <v>3</v>
      </c>
      <c r="Q510" s="1026"/>
      <c r="R510" s="1026"/>
      <c r="S510" s="1026">
        <f>+(N510*N510+O510*O510+(N510+O510)*(N510+O510))*P510/6*4</f>
        <v>39</v>
      </c>
      <c r="T510" s="1059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17"/>
      <c r="AG510" s="31"/>
      <c r="AH510" s="17"/>
      <c r="AI510" s="13"/>
      <c r="AJ510" s="13"/>
      <c r="AK510" s="13"/>
      <c r="AL510" s="13"/>
      <c r="AM510" s="13"/>
      <c r="AN510" s="13"/>
      <c r="AO510" s="13"/>
    </row>
    <row r="511" spans="1:41" ht="19.899999999999999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7"/>
      <c r="M511" s="51" t="s">
        <v>385</v>
      </c>
      <c r="N511" s="1069"/>
      <c r="O511" s="1069"/>
      <c r="P511" s="1069"/>
      <c r="Q511" s="1069"/>
      <c r="R511" s="1069"/>
      <c r="S511" s="1144">
        <f>+S480</f>
        <v>14.955</v>
      </c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17"/>
      <c r="AG511" s="31"/>
      <c r="AH511" s="17"/>
      <c r="AI511" s="13"/>
      <c r="AJ511" s="13"/>
      <c r="AK511" s="13"/>
      <c r="AL511" s="13"/>
      <c r="AM511" s="13"/>
      <c r="AN511" s="13"/>
      <c r="AO511" s="13"/>
    </row>
    <row r="512" spans="1:41" ht="19.899999999999999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7"/>
      <c r="M512" s="73" t="s">
        <v>386</v>
      </c>
      <c r="N512" s="1145" t="e">
        <f>+N481</f>
        <v>#REF!</v>
      </c>
      <c r="O512" s="1146" t="e">
        <f>+O481</f>
        <v>#REF!</v>
      </c>
      <c r="P512" s="1146">
        <f>+P481</f>
        <v>5</v>
      </c>
      <c r="Q512" s="1146">
        <f>+Q481</f>
        <v>6</v>
      </c>
      <c r="R512" s="1147">
        <v>0.35699999999999998</v>
      </c>
      <c r="S512" s="1148" t="e">
        <f>+(N512*O512*(P512-2*O510)+N512*O512*(Q512-2*O510))*2</f>
        <v>#REF!</v>
      </c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17"/>
      <c r="AG512" s="31"/>
      <c r="AH512" s="17"/>
      <c r="AI512" s="13"/>
      <c r="AJ512" s="13"/>
      <c r="AK512" s="13"/>
      <c r="AL512" s="13"/>
      <c r="AM512" s="13"/>
      <c r="AN512" s="13"/>
      <c r="AO512" s="13"/>
    </row>
    <row r="513" spans="1:41" ht="19.899999999999999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7"/>
      <c r="M513" s="74"/>
      <c r="N513" s="1030"/>
      <c r="O513" s="1030"/>
      <c r="P513" s="1030"/>
      <c r="Q513" s="1030"/>
      <c r="R513" s="1030"/>
      <c r="S513" s="1030" t="e">
        <f>+R512*O512/2*0.6*8</f>
        <v>#REF!</v>
      </c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31"/>
      <c r="AH513" s="17"/>
      <c r="AI513" s="13"/>
      <c r="AJ513" s="13"/>
      <c r="AK513" s="13"/>
      <c r="AL513" s="13"/>
      <c r="AM513" s="13"/>
      <c r="AN513" s="13"/>
      <c r="AO513" s="13"/>
    </row>
    <row r="514" spans="1:41" ht="19.899999999999999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7"/>
      <c r="M514" s="65"/>
      <c r="N514" s="17"/>
      <c r="O514" s="17"/>
      <c r="P514" s="17"/>
      <c r="Q514" s="17"/>
      <c r="R514" s="17" t="s">
        <v>387</v>
      </c>
      <c r="S514" s="1095" t="e">
        <f>+SUM(S510:S513)</f>
        <v>#REF!</v>
      </c>
      <c r="T514" s="17"/>
      <c r="U514" s="17" t="e">
        <f>72*S514</f>
        <v>#REF!</v>
      </c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31"/>
      <c r="AH514" s="17"/>
      <c r="AI514" s="13"/>
      <c r="AJ514" s="13"/>
      <c r="AK514" s="13"/>
      <c r="AL514" s="13"/>
      <c r="AM514" s="13"/>
      <c r="AN514" s="13"/>
      <c r="AO514" s="13"/>
    </row>
    <row r="515" spans="1:41" ht="19.899999999999999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7"/>
      <c r="M515" s="65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31"/>
      <c r="AH515" s="17"/>
      <c r="AI515" s="13"/>
      <c r="AJ515" s="13"/>
      <c r="AK515" s="13"/>
      <c r="AL515" s="13"/>
      <c r="AM515" s="13"/>
      <c r="AN515" s="13"/>
      <c r="AO515" s="13"/>
    </row>
    <row r="516" spans="1:41" ht="19.899999999999999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7"/>
      <c r="M516" s="75" t="s">
        <v>388</v>
      </c>
      <c r="N516" s="30"/>
      <c r="O516" s="30"/>
      <c r="P516" s="30"/>
      <c r="Q516" s="30"/>
      <c r="R516" s="30"/>
      <c r="S516" s="30"/>
      <c r="T516" s="30"/>
      <c r="U516" s="30"/>
      <c r="V516" s="30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31"/>
      <c r="AH516" s="17"/>
      <c r="AI516" s="13"/>
      <c r="AJ516" s="13"/>
      <c r="AK516" s="13"/>
      <c r="AL516" s="13"/>
      <c r="AM516" s="13"/>
      <c r="AN516" s="13"/>
      <c r="AO516" s="13"/>
    </row>
    <row r="517" spans="1:41" ht="19.899999999999999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7"/>
      <c r="M517" s="76"/>
      <c r="N517" s="1149" t="s">
        <v>332</v>
      </c>
      <c r="O517" s="1149" t="s">
        <v>39</v>
      </c>
      <c r="P517" s="1149" t="s">
        <v>331</v>
      </c>
      <c r="Q517" s="1149" t="s">
        <v>332</v>
      </c>
      <c r="R517" s="1149" t="s">
        <v>333</v>
      </c>
      <c r="S517" s="1149" t="s">
        <v>334</v>
      </c>
      <c r="T517" s="1149" t="s">
        <v>335</v>
      </c>
      <c r="U517" s="1149" t="s">
        <v>389</v>
      </c>
      <c r="V517" s="1149" t="s">
        <v>390</v>
      </c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31"/>
      <c r="AH517" s="17"/>
      <c r="AI517" s="13"/>
      <c r="AJ517" s="13"/>
      <c r="AK517" s="13"/>
      <c r="AL517" s="13"/>
      <c r="AM517" s="13"/>
      <c r="AN517" s="13"/>
      <c r="AO517" s="13"/>
    </row>
    <row r="518" spans="1:41" ht="19.899999999999999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7"/>
      <c r="M518" s="76" t="s">
        <v>391</v>
      </c>
      <c r="N518" s="1150">
        <v>6.4</v>
      </c>
      <c r="O518" s="1150">
        <v>6.8</v>
      </c>
      <c r="P518" s="1151">
        <f>+N518+U518*2</f>
        <v>7</v>
      </c>
      <c r="Q518" s="1151">
        <f>+O518+U518*2</f>
        <v>7.3999999999999995</v>
      </c>
      <c r="R518" s="1151">
        <f>+P518+T518*2</f>
        <v>9.1999999999999993</v>
      </c>
      <c r="S518" s="1151">
        <f>+Q518+T518*2</f>
        <v>9.6</v>
      </c>
      <c r="T518" s="1150">
        <v>1.1000000000000001</v>
      </c>
      <c r="U518" s="1150">
        <v>0.3</v>
      </c>
      <c r="V518" s="1152">
        <f>+(P518*Q518+(P518+N518)*(Q518+O518)+N518*O518)*T518/6</f>
        <v>52.359999999999992</v>
      </c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31"/>
      <c r="AH518" s="17"/>
      <c r="AI518" s="13"/>
      <c r="AJ518" s="13"/>
      <c r="AK518" s="13"/>
      <c r="AL518" s="13"/>
      <c r="AM518" s="13"/>
      <c r="AN518" s="13"/>
      <c r="AO518" s="13"/>
    </row>
    <row r="519" spans="1:41" ht="19.899999999999999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7"/>
      <c r="M519" s="76" t="s">
        <v>392</v>
      </c>
      <c r="N519" s="1150">
        <v>6.4</v>
      </c>
      <c r="O519" s="1150">
        <v>7</v>
      </c>
      <c r="P519" s="1151">
        <f>+N519+U519*2</f>
        <v>7.4</v>
      </c>
      <c r="Q519" s="1151">
        <f>+O519+U519*2</f>
        <v>8</v>
      </c>
      <c r="R519" s="1151">
        <f>+P519+T519*2</f>
        <v>10.600000000000001</v>
      </c>
      <c r="S519" s="1151">
        <f>+Q519+T519*2</f>
        <v>11.2</v>
      </c>
      <c r="T519" s="1150">
        <f>1.1+U519</f>
        <v>1.6</v>
      </c>
      <c r="U519" s="1150">
        <v>0.5</v>
      </c>
      <c r="V519" s="1152">
        <f>+(P519*Q519+(P519+N519)*(Q519+O519)+N519*O519)*T519/6</f>
        <v>82.933333333333337</v>
      </c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31"/>
      <c r="AH519" s="17"/>
      <c r="AI519" s="13"/>
      <c r="AJ519" s="13"/>
      <c r="AK519" s="13"/>
      <c r="AL519" s="13"/>
      <c r="AM519" s="13"/>
      <c r="AN519" s="13"/>
      <c r="AO519" s="13"/>
    </row>
    <row r="520" spans="1:41" ht="19.899999999999999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7"/>
      <c r="M520" s="75" t="s">
        <v>393</v>
      </c>
      <c r="N520" s="30"/>
      <c r="O520" s="30"/>
      <c r="P520" s="30"/>
      <c r="Q520" s="30"/>
      <c r="R520" s="30"/>
      <c r="S520" s="30"/>
      <c r="T520" s="30"/>
      <c r="U520" s="30"/>
      <c r="V520" s="30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31"/>
      <c r="AH520" s="17"/>
      <c r="AI520" s="13"/>
      <c r="AJ520" s="13"/>
      <c r="AK520" s="13"/>
      <c r="AL520" s="13"/>
      <c r="AM520" s="13"/>
      <c r="AN520" s="13"/>
      <c r="AO520" s="13"/>
    </row>
    <row r="521" spans="1:41" ht="19.899999999999999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7"/>
      <c r="M521" s="76"/>
      <c r="N521" s="1149" t="s">
        <v>394</v>
      </c>
      <c r="O521" s="1149" t="s">
        <v>332</v>
      </c>
      <c r="P521" s="1149" t="s">
        <v>39</v>
      </c>
      <c r="Q521" s="1149" t="s">
        <v>389</v>
      </c>
      <c r="R521" s="1017" t="s">
        <v>395</v>
      </c>
      <c r="S521" s="1149" t="s">
        <v>396</v>
      </c>
      <c r="T521" s="1149"/>
      <c r="U521" s="1149"/>
      <c r="V521" s="1149" t="s">
        <v>397</v>
      </c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31"/>
      <c r="AH521" s="17"/>
      <c r="AI521" s="13"/>
      <c r="AJ521" s="13"/>
      <c r="AK521" s="13"/>
      <c r="AL521" s="13"/>
      <c r="AM521" s="13"/>
      <c r="AN521" s="13"/>
      <c r="AO521" s="13"/>
    </row>
    <row r="522" spans="1:41" ht="19.899999999999999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7"/>
      <c r="M522" s="76"/>
      <c r="N522" s="1150">
        <v>0.9</v>
      </c>
      <c r="O522" s="1150">
        <v>6.4</v>
      </c>
      <c r="P522" s="1150">
        <v>6.8</v>
      </c>
      <c r="Q522" s="1150">
        <f>1+0.5/2</f>
        <v>1.25</v>
      </c>
      <c r="R522" s="1151">
        <f>+O522+Q522*2</f>
        <v>8.9</v>
      </c>
      <c r="S522" s="1151">
        <f>+Q522*2+P522</f>
        <v>9.3000000000000007</v>
      </c>
      <c r="T522" s="1151"/>
      <c r="U522" s="1151"/>
      <c r="V522" s="1152">
        <f>+(S522*2+R522*2)*N522</f>
        <v>32.760000000000005</v>
      </c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31"/>
      <c r="AH522" s="17"/>
      <c r="AI522" s="13"/>
      <c r="AJ522" s="13"/>
      <c r="AK522" s="13"/>
      <c r="AL522" s="13"/>
      <c r="AM522" s="13"/>
      <c r="AN522" s="13"/>
      <c r="AO522" s="13"/>
    </row>
    <row r="523" spans="1:41" ht="19.899999999999999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7"/>
      <c r="M523" s="75" t="s">
        <v>398</v>
      </c>
      <c r="N523" s="30"/>
      <c r="O523" s="30"/>
      <c r="P523" s="30"/>
      <c r="Q523" s="30"/>
      <c r="R523" s="30"/>
      <c r="S523" s="30"/>
      <c r="T523" s="30"/>
      <c r="U523" s="30"/>
      <c r="V523" s="30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31"/>
      <c r="AH523" s="17"/>
      <c r="AI523" s="13"/>
      <c r="AJ523" s="13"/>
      <c r="AK523" s="13"/>
      <c r="AL523" s="13"/>
      <c r="AM523" s="13"/>
      <c r="AN523" s="13"/>
      <c r="AO523" s="13"/>
    </row>
    <row r="524" spans="1:41" ht="19.899999999999999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7"/>
      <c r="M524" s="76"/>
      <c r="N524" s="1149" t="s">
        <v>390</v>
      </c>
      <c r="O524" s="1149" t="s">
        <v>399</v>
      </c>
      <c r="P524" s="1149" t="s">
        <v>332</v>
      </c>
      <c r="Q524" s="1149" t="s">
        <v>39</v>
      </c>
      <c r="R524" s="1149" t="s">
        <v>395</v>
      </c>
      <c r="S524" s="1149" t="s">
        <v>396</v>
      </c>
      <c r="T524" s="1149" t="s">
        <v>335</v>
      </c>
      <c r="U524" s="1149"/>
      <c r="V524" s="1149" t="s">
        <v>400</v>
      </c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31"/>
      <c r="AH524" s="17"/>
      <c r="AI524" s="13"/>
      <c r="AJ524" s="13"/>
      <c r="AK524" s="13"/>
      <c r="AL524" s="13"/>
      <c r="AM524" s="13"/>
      <c r="AN524" s="13"/>
      <c r="AO524" s="13"/>
    </row>
    <row r="525" spans="1:41" ht="19.899999999999999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7"/>
      <c r="M525" s="76"/>
      <c r="N525" s="1150">
        <f>+V518</f>
        <v>52.359999999999992</v>
      </c>
      <c r="O525" s="1150">
        <v>18.25</v>
      </c>
      <c r="P525" s="1150">
        <v>6.4</v>
      </c>
      <c r="Q525" s="1150">
        <v>7</v>
      </c>
      <c r="R525" s="1151">
        <f>+P525+T525*2</f>
        <v>8.4</v>
      </c>
      <c r="S525" s="1151">
        <f>+Q525+T525*2</f>
        <v>9</v>
      </c>
      <c r="T525" s="1150">
        <v>1</v>
      </c>
      <c r="U525" s="1149"/>
      <c r="V525" s="1152" t="e">
        <f>+(P525*Q525+R525*S525+(P525+R525)*(Q525+S525))*T525/6+N525-O525+S483</f>
        <v>#REF!</v>
      </c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31"/>
      <c r="AH525" s="17"/>
      <c r="AI525" s="13"/>
      <c r="AJ525" s="13"/>
      <c r="AK525" s="13"/>
      <c r="AL525" s="13"/>
      <c r="AM525" s="13"/>
      <c r="AN525" s="13"/>
      <c r="AO525" s="13"/>
    </row>
    <row r="526" spans="1:41" ht="19.899999999999999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7"/>
      <c r="M526" s="65"/>
      <c r="N526" s="17" t="s">
        <v>332</v>
      </c>
      <c r="O526" s="17" t="s">
        <v>39</v>
      </c>
      <c r="P526" s="17"/>
      <c r="Q526" s="17" t="s">
        <v>401</v>
      </c>
      <c r="R526" s="17" t="s">
        <v>402</v>
      </c>
      <c r="S526" s="17" t="s">
        <v>332</v>
      </c>
      <c r="T526" s="17" t="s">
        <v>39</v>
      </c>
      <c r="U526" s="17" t="s">
        <v>334</v>
      </c>
      <c r="V526" s="17" t="s">
        <v>403</v>
      </c>
      <c r="W526" s="17" t="s">
        <v>404</v>
      </c>
      <c r="X526" s="17"/>
      <c r="Y526" s="17"/>
      <c r="Z526" s="17"/>
      <c r="AA526" s="17"/>
      <c r="AB526" s="17"/>
      <c r="AC526" s="17"/>
      <c r="AD526" s="17"/>
      <c r="AE526" s="17"/>
      <c r="AF526" s="17"/>
      <c r="AG526" s="31"/>
      <c r="AH526" s="17"/>
      <c r="AI526" s="13"/>
      <c r="AJ526" s="13"/>
      <c r="AK526" s="13"/>
      <c r="AL526" s="13"/>
      <c r="AM526" s="13"/>
      <c r="AN526" s="13"/>
      <c r="AO526" s="13"/>
    </row>
    <row r="527" spans="1:41" ht="19.899999999999999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7"/>
      <c r="M527" s="65"/>
      <c r="N527" s="1153">
        <v>5.3</v>
      </c>
      <c r="O527" s="1153">
        <v>5</v>
      </c>
      <c r="P527" s="1153">
        <v>0.3</v>
      </c>
      <c r="Q527" s="1153">
        <v>0.25</v>
      </c>
      <c r="R527" s="1153">
        <v>3.6</v>
      </c>
      <c r="S527" s="17">
        <f>+N527+P527*2</f>
        <v>5.8999999999999995</v>
      </c>
      <c r="T527" s="17">
        <f>+O527+P527*2</f>
        <v>5.6</v>
      </c>
      <c r="U527" s="17">
        <f>+Q527*R527*2+S527</f>
        <v>7.6999999999999993</v>
      </c>
      <c r="V527" s="17">
        <f>+Q527*R527*2+T527</f>
        <v>7.3999999999999995</v>
      </c>
      <c r="W527" s="17">
        <f>+(U527*V527+S527*T527+(S527+U527)*(T527+V527))*R527/6</f>
        <v>160.09199999999996</v>
      </c>
      <c r="X527" s="17"/>
      <c r="Y527" s="17"/>
      <c r="Z527" s="17"/>
      <c r="AA527" s="17"/>
      <c r="AB527" s="17"/>
      <c r="AC527" s="17"/>
      <c r="AD527" s="17"/>
      <c r="AE527" s="17"/>
      <c r="AF527" s="17"/>
      <c r="AG527" s="31"/>
      <c r="AH527" s="17"/>
      <c r="AI527" s="13"/>
      <c r="AJ527" s="13"/>
      <c r="AK527" s="13"/>
      <c r="AL527" s="13"/>
      <c r="AM527" s="13"/>
      <c r="AN527" s="13"/>
      <c r="AO527" s="13"/>
    </row>
    <row r="528" spans="1:41" ht="19.899999999999999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7"/>
      <c r="M528" s="65"/>
      <c r="N528" s="17"/>
      <c r="O528" s="17"/>
      <c r="P528" s="17"/>
      <c r="Q528" s="17"/>
      <c r="R528" s="17"/>
      <c r="S528" s="17"/>
      <c r="T528" s="17"/>
      <c r="U528" s="17"/>
      <c r="V528" s="17"/>
      <c r="W528" s="17">
        <f>+W527*4</f>
        <v>640.36799999999982</v>
      </c>
      <c r="X528" s="17" t="s">
        <v>405</v>
      </c>
      <c r="Y528" s="17"/>
      <c r="Z528" s="17"/>
      <c r="AA528" s="17"/>
      <c r="AB528" s="17"/>
      <c r="AC528" s="17"/>
      <c r="AD528" s="17"/>
      <c r="AE528" s="17"/>
      <c r="AF528" s="17"/>
      <c r="AG528" s="31"/>
      <c r="AH528" s="17"/>
      <c r="AI528" s="13"/>
      <c r="AJ528" s="13"/>
      <c r="AK528" s="13"/>
      <c r="AL528" s="13"/>
      <c r="AM528" s="13"/>
      <c r="AN528" s="13"/>
      <c r="AO528" s="13"/>
    </row>
    <row r="529" spans="1:41" ht="19.899999999999999" customHeight="1" thickBo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7"/>
      <c r="M529" s="77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9"/>
      <c r="AH529" s="17"/>
      <c r="AI529" s="13"/>
      <c r="AJ529" s="13"/>
      <c r="AK529" s="13"/>
      <c r="AL529" s="13"/>
      <c r="AM529" s="13"/>
      <c r="AN529" s="13"/>
      <c r="AO529" s="13"/>
    </row>
    <row r="530" spans="1:41" ht="19.899999999999999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7"/>
      <c r="M530" s="25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3"/>
      <c r="AJ530" s="13"/>
      <c r="AK530" s="13"/>
      <c r="AL530" s="13"/>
      <c r="AM530" s="13"/>
      <c r="AN530" s="13"/>
      <c r="AO530" s="13"/>
    </row>
    <row r="531" spans="1:41" ht="19.899999999999999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7"/>
      <c r="M531" s="25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3"/>
      <c r="AJ531" s="13"/>
      <c r="AK531" s="13"/>
      <c r="AL531" s="13"/>
      <c r="AM531" s="13"/>
      <c r="AN531" s="13"/>
      <c r="AO531" s="13"/>
    </row>
    <row r="532" spans="1:41" ht="19.899999999999999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7"/>
      <c r="L532" s="25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3"/>
      <c r="AI532" s="13"/>
      <c r="AJ532" s="13"/>
      <c r="AK532" s="13"/>
      <c r="AL532" s="13"/>
      <c r="AM532" s="13"/>
      <c r="AN532" s="13"/>
      <c r="AO532" s="13"/>
    </row>
    <row r="533" spans="1:41" ht="19.899999999999999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7"/>
      <c r="L533" s="25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3"/>
      <c r="AI533" s="13"/>
      <c r="AJ533" s="13"/>
      <c r="AK533" s="13"/>
      <c r="AL533" s="13"/>
      <c r="AM533" s="13"/>
      <c r="AN533" s="13"/>
      <c r="AO533" s="13"/>
    </row>
    <row r="534" spans="1:41" ht="19.899999999999999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7"/>
      <c r="L534" s="25"/>
      <c r="M534" s="17"/>
      <c r="N534" s="17"/>
      <c r="O534" s="17"/>
      <c r="P534" s="17"/>
      <c r="Q534" s="17"/>
      <c r="R534" s="17"/>
      <c r="S534" s="17"/>
      <c r="T534" s="17"/>
      <c r="U534" s="17"/>
      <c r="V534" s="17"/>
    </row>
    <row r="535" spans="1:41" ht="19.899999999999999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7"/>
      <c r="L535" s="25"/>
      <c r="M535" s="17"/>
      <c r="N535" s="17"/>
      <c r="O535" s="17"/>
      <c r="P535" s="17"/>
      <c r="Q535" s="17"/>
      <c r="R535" s="17"/>
      <c r="S535" s="17"/>
      <c r="T535" s="17"/>
      <c r="U535" s="17"/>
      <c r="V535" s="17"/>
    </row>
    <row r="536" spans="1:41" ht="19.899999999999999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7"/>
      <c r="L536" s="25"/>
      <c r="M536" s="17"/>
      <c r="N536" s="17"/>
      <c r="O536" s="17"/>
      <c r="P536" s="17"/>
      <c r="Q536" s="17"/>
      <c r="R536" s="17"/>
      <c r="S536" s="17"/>
      <c r="T536" s="17"/>
      <c r="U536" s="17"/>
      <c r="V536" s="17"/>
    </row>
    <row r="537" spans="1:41" ht="19.899999999999999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7"/>
      <c r="L537" s="25"/>
      <c r="M537" s="17"/>
      <c r="N537" s="17"/>
      <c r="O537" s="17"/>
      <c r="P537" s="17"/>
      <c r="Q537" s="17"/>
      <c r="R537" s="17"/>
      <c r="S537" s="17"/>
      <c r="T537" s="17"/>
      <c r="U537" s="17"/>
      <c r="V537" s="17"/>
    </row>
    <row r="538" spans="1:41" ht="19.899999999999999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7"/>
      <c r="L538" s="25"/>
      <c r="M538" s="17"/>
      <c r="N538" s="17"/>
      <c r="O538" s="17"/>
      <c r="P538" s="17"/>
      <c r="Q538" s="17"/>
      <c r="R538" s="17"/>
      <c r="S538" s="17"/>
      <c r="T538" s="17"/>
      <c r="U538" s="17"/>
      <c r="V538" s="17"/>
    </row>
    <row r="539" spans="1:41" ht="19.899999999999999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7"/>
      <c r="L539" s="25"/>
      <c r="M539" s="17"/>
      <c r="N539" s="17"/>
      <c r="O539" s="17"/>
      <c r="P539" s="17"/>
      <c r="Q539" s="17"/>
      <c r="R539" s="17"/>
      <c r="S539" s="17"/>
      <c r="T539" s="17"/>
      <c r="U539" s="17"/>
      <c r="V539" s="17"/>
    </row>
    <row r="540" spans="1:41" ht="19.899999999999999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7"/>
      <c r="L540" s="25"/>
      <c r="M540" s="17"/>
      <c r="N540" s="17"/>
      <c r="O540" s="17"/>
      <c r="P540" s="17"/>
      <c r="Q540" s="17"/>
      <c r="R540" s="17"/>
      <c r="S540" s="17"/>
      <c r="T540" s="17"/>
      <c r="U540" s="17"/>
      <c r="V540" s="17"/>
    </row>
    <row r="541" spans="1:41" ht="19.899999999999999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7"/>
      <c r="L541" s="25"/>
      <c r="M541" s="17"/>
      <c r="N541" s="17"/>
      <c r="O541" s="17"/>
      <c r="P541" s="17"/>
      <c r="Q541" s="17"/>
      <c r="R541" s="17"/>
      <c r="S541" s="17"/>
      <c r="T541" s="17"/>
      <c r="U541" s="17"/>
      <c r="V541" s="17"/>
    </row>
    <row r="542" spans="1:41" ht="19.899999999999999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7"/>
      <c r="L542" s="25"/>
      <c r="M542" s="17"/>
      <c r="N542" s="17"/>
      <c r="O542" s="17"/>
      <c r="P542" s="17"/>
      <c r="Q542" s="17"/>
      <c r="R542" s="17"/>
      <c r="S542" s="17"/>
      <c r="T542" s="17"/>
      <c r="U542" s="17"/>
      <c r="V542" s="17"/>
    </row>
    <row r="543" spans="1:41" ht="19.899999999999999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7"/>
      <c r="L543" s="25"/>
      <c r="M543" s="17"/>
      <c r="N543" s="17"/>
      <c r="O543" s="17"/>
      <c r="P543" s="17"/>
      <c r="Q543" s="17"/>
      <c r="R543" s="17"/>
      <c r="S543" s="17"/>
      <c r="T543" s="17"/>
      <c r="U543" s="17"/>
      <c r="V543" s="17"/>
    </row>
    <row r="544" spans="1:41" ht="19.899999999999999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7"/>
      <c r="L544" s="25"/>
      <c r="M544" s="17"/>
      <c r="N544" s="17"/>
      <c r="O544" s="17"/>
      <c r="P544" s="17"/>
      <c r="Q544" s="17"/>
      <c r="R544" s="17"/>
      <c r="S544" s="17"/>
      <c r="T544" s="17"/>
      <c r="U544" s="17"/>
      <c r="V544" s="17"/>
    </row>
    <row r="545" spans="1:22" ht="19.899999999999999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7"/>
      <c r="L545" s="25"/>
      <c r="M545" s="17"/>
      <c r="N545" s="17"/>
      <c r="O545" s="17"/>
      <c r="P545" s="17"/>
      <c r="Q545" s="17"/>
      <c r="R545" s="17"/>
      <c r="S545" s="17"/>
      <c r="T545" s="17"/>
      <c r="U545" s="17"/>
      <c r="V545" s="17"/>
    </row>
    <row r="546" spans="1:22" ht="19.899999999999999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7"/>
      <c r="L546" s="25"/>
      <c r="M546" s="17"/>
      <c r="N546" s="17"/>
      <c r="O546" s="17"/>
      <c r="P546" s="17"/>
      <c r="Q546" s="17"/>
      <c r="R546" s="17"/>
      <c r="S546" s="17"/>
      <c r="T546" s="17"/>
      <c r="U546" s="17"/>
      <c r="V546" s="17"/>
    </row>
    <row r="547" spans="1:22" ht="19.899999999999999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7"/>
      <c r="L547" s="25"/>
      <c r="M547" s="17"/>
      <c r="N547" s="17"/>
      <c r="O547" s="17"/>
      <c r="P547" s="17"/>
      <c r="Q547" s="17"/>
      <c r="R547" s="17"/>
      <c r="S547" s="17"/>
      <c r="T547" s="17"/>
      <c r="U547" s="17"/>
      <c r="V547" s="17"/>
    </row>
    <row r="548" spans="1:22" ht="19.899999999999999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7"/>
      <c r="L548" s="25"/>
      <c r="M548" s="17"/>
      <c r="N548" s="17"/>
      <c r="O548" s="17"/>
      <c r="P548" s="17"/>
      <c r="Q548" s="17"/>
      <c r="R548" s="17"/>
      <c r="S548" s="17"/>
      <c r="T548" s="17"/>
      <c r="U548" s="17"/>
      <c r="V548" s="17"/>
    </row>
    <row r="549" spans="1:22" ht="19.899999999999999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7"/>
      <c r="L549" s="25"/>
      <c r="M549" s="17"/>
      <c r="N549" s="17"/>
      <c r="O549" s="17"/>
      <c r="P549" s="17"/>
      <c r="Q549" s="17"/>
      <c r="R549" s="17"/>
      <c r="S549" s="17"/>
      <c r="T549" s="17"/>
      <c r="U549" s="17"/>
      <c r="V549" s="17"/>
    </row>
    <row r="550" spans="1:22" ht="19.899999999999999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7"/>
      <c r="L550" s="25"/>
      <c r="M550" s="17"/>
      <c r="N550" s="17"/>
      <c r="O550" s="17"/>
      <c r="P550" s="17"/>
      <c r="Q550" s="17"/>
      <c r="R550" s="17"/>
      <c r="S550" s="17"/>
      <c r="T550" s="17"/>
      <c r="U550" s="17"/>
      <c r="V550" s="17"/>
    </row>
    <row r="551" spans="1:22" ht="19.899999999999999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7"/>
      <c r="L551" s="25"/>
      <c r="M551" s="17"/>
      <c r="N551" s="17"/>
      <c r="O551" s="17"/>
      <c r="P551" s="17"/>
      <c r="Q551" s="17"/>
      <c r="R551" s="17"/>
      <c r="S551" s="17"/>
      <c r="T551" s="17"/>
      <c r="U551" s="17"/>
      <c r="V551" s="17"/>
    </row>
    <row r="552" spans="1:22" ht="19.899999999999999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7"/>
      <c r="L552" s="25"/>
      <c r="M552" s="17"/>
      <c r="N552" s="17"/>
      <c r="O552" s="17"/>
      <c r="P552" s="17"/>
      <c r="Q552" s="17"/>
      <c r="R552" s="17"/>
      <c r="S552" s="17"/>
      <c r="T552" s="17"/>
      <c r="U552" s="17"/>
      <c r="V552" s="17"/>
    </row>
    <row r="553" spans="1:22" ht="19.899999999999999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7"/>
      <c r="L553" s="25"/>
      <c r="M553" s="17"/>
      <c r="N553" s="17"/>
      <c r="O553" s="17"/>
      <c r="P553" s="17"/>
      <c r="Q553" s="17"/>
      <c r="R553" s="17"/>
      <c r="S553" s="17"/>
      <c r="T553" s="17"/>
      <c r="U553" s="17"/>
      <c r="V553" s="17"/>
    </row>
  </sheetData>
  <dataConsolidate/>
  <mergeCells count="78">
    <mergeCell ref="AE470:AF470"/>
    <mergeCell ref="M474:M475"/>
    <mergeCell ref="AA455:AC455"/>
    <mergeCell ref="N459:N461"/>
    <mergeCell ref="S469:X469"/>
    <mergeCell ref="Y469:AB469"/>
    <mergeCell ref="AC469:AF469"/>
    <mergeCell ref="S470:U470"/>
    <mergeCell ref="V470:X470"/>
    <mergeCell ref="Y470:Z470"/>
    <mergeCell ref="AA470:AB470"/>
    <mergeCell ref="AC470:AD470"/>
    <mergeCell ref="C397:C398"/>
    <mergeCell ref="E397:E398"/>
    <mergeCell ref="F397:F398"/>
    <mergeCell ref="G397:G398"/>
    <mergeCell ref="C404:C405"/>
    <mergeCell ref="E404:E405"/>
    <mergeCell ref="F404:F405"/>
    <mergeCell ref="G404:G405"/>
    <mergeCell ref="J383:J387"/>
    <mergeCell ref="C395:C396"/>
    <mergeCell ref="E395:E396"/>
    <mergeCell ref="F395:F396"/>
    <mergeCell ref="G395:G396"/>
    <mergeCell ref="H395:H396"/>
    <mergeCell ref="W141:Z141"/>
    <mergeCell ref="K323:K328"/>
    <mergeCell ref="J329:K329"/>
    <mergeCell ref="C372:C373"/>
    <mergeCell ref="D372:E372"/>
    <mergeCell ref="L372:L373"/>
    <mergeCell ref="M372:N372"/>
    <mergeCell ref="D373:E373"/>
    <mergeCell ref="M373:N373"/>
    <mergeCell ref="I139:I140"/>
    <mergeCell ref="B57:C57"/>
    <mergeCell ref="O59:P59"/>
    <mergeCell ref="G126:H126"/>
    <mergeCell ref="B137:D138"/>
    <mergeCell ref="E137:E138"/>
    <mergeCell ref="G137:G138"/>
    <mergeCell ref="H137:H138"/>
    <mergeCell ref="I137:I138"/>
    <mergeCell ref="B139:C140"/>
    <mergeCell ref="D139:D140"/>
    <mergeCell ref="F139:F140"/>
    <mergeCell ref="G139:G140"/>
    <mergeCell ref="H139:H140"/>
    <mergeCell ref="B56:C56"/>
    <mergeCell ref="A39:A41"/>
    <mergeCell ref="A42:A44"/>
    <mergeCell ref="A45:A47"/>
    <mergeCell ref="V45:Y45"/>
    <mergeCell ref="A48:A50"/>
    <mergeCell ref="I48:J48"/>
    <mergeCell ref="I49:J49"/>
    <mergeCell ref="A52:A53"/>
    <mergeCell ref="B52:C53"/>
    <mergeCell ref="F52:F53"/>
    <mergeCell ref="B54:C54"/>
    <mergeCell ref="B55:C55"/>
    <mergeCell ref="V8:V9"/>
    <mergeCell ref="W8:W9"/>
    <mergeCell ref="Z8:Z9"/>
    <mergeCell ref="AA8:AA9"/>
    <mergeCell ref="A31:B31"/>
    <mergeCell ref="G17:G18"/>
    <mergeCell ref="G20:G23"/>
    <mergeCell ref="G26:G27"/>
    <mergeCell ref="A34:A37"/>
    <mergeCell ref="C3:F3"/>
    <mergeCell ref="A4:B4"/>
    <mergeCell ref="A1:B1"/>
    <mergeCell ref="A2:B2"/>
    <mergeCell ref="A3:B3"/>
    <mergeCell ref="A32:B32"/>
    <mergeCell ref="A33:B33"/>
  </mergeCells>
  <phoneticPr fontId="2" type="noConversion"/>
  <conditionalFormatting sqref="A154:L154">
    <cfRule type="expression" dxfId="64" priority="2">
      <formula>$V$154="NO"</formula>
    </cfRule>
  </conditionalFormatting>
  <conditionalFormatting sqref="B131:F131 H131:K131">
    <cfRule type="expression" dxfId="63" priority="4">
      <formula>$V$131="NOT"</formula>
    </cfRule>
  </conditionalFormatting>
  <conditionalFormatting sqref="B139:I140">
    <cfRule type="expression" dxfId="62" priority="3">
      <formula>$V$139="NOT"</formula>
    </cfRule>
  </conditionalFormatting>
  <conditionalFormatting sqref="E66:J66">
    <cfRule type="expression" dxfId="61" priority="16">
      <formula>$V$66="Chưa đạt"</formula>
    </cfRule>
  </conditionalFormatting>
  <conditionalFormatting sqref="E67:J67">
    <cfRule type="expression" dxfId="60" priority="15">
      <formula>$V$67="Chưa đạt"</formula>
    </cfRule>
  </conditionalFormatting>
  <conditionalFormatting sqref="E68:J68">
    <cfRule type="expression" dxfId="59" priority="14">
      <formula>$V$68="Chưa đạt"</formula>
    </cfRule>
  </conditionalFormatting>
  <conditionalFormatting sqref="E70:J70">
    <cfRule type="expression" dxfId="58" priority="13">
      <formula>$V$70="Chưa đạt"</formula>
    </cfRule>
  </conditionalFormatting>
  <conditionalFormatting sqref="E71:J71">
    <cfRule type="expression" dxfId="57" priority="12">
      <formula>$V$71="Chưa đạt"</formula>
    </cfRule>
  </conditionalFormatting>
  <conditionalFormatting sqref="E72:J72">
    <cfRule type="expression" dxfId="56" priority="11">
      <formula>$V$72="Chưa đạt"</formula>
    </cfRule>
  </conditionalFormatting>
  <conditionalFormatting sqref="E82:J82">
    <cfRule type="expression" dxfId="55" priority="10">
      <formula>$V$82="Chưa đạt"</formula>
    </cfRule>
  </conditionalFormatting>
  <conditionalFormatting sqref="E83:J83">
    <cfRule type="expression" dxfId="54" priority="9">
      <formula>$V$83="Chưa đạt"</formula>
    </cfRule>
  </conditionalFormatting>
  <conditionalFormatting sqref="E84:J84">
    <cfRule type="expression" dxfId="53" priority="8">
      <formula>$V$84="Chưa đạt"</formula>
    </cfRule>
  </conditionalFormatting>
  <conditionalFormatting sqref="E88:J88">
    <cfRule type="expression" dxfId="52" priority="7">
      <formula>$V$88="Chưa đạt"</formula>
    </cfRule>
  </conditionalFormatting>
  <conditionalFormatting sqref="E89:J89">
    <cfRule type="expression" dxfId="51" priority="6">
      <formula>$V$89="Chưa đạt"</formula>
    </cfRule>
  </conditionalFormatting>
  <conditionalFormatting sqref="E90:J90">
    <cfRule type="expression" dxfId="50" priority="5">
      <formula>$V$90="Chưa đạt"</formula>
    </cfRule>
  </conditionalFormatting>
  <conditionalFormatting sqref="H148:J148">
    <cfRule type="expression" dxfId="49" priority="17">
      <formula>$K$148="NO"</formula>
    </cfRule>
  </conditionalFormatting>
  <conditionalFormatting sqref="V148">
    <cfRule type="expression" dxfId="48" priority="1">
      <formula>$V$148="NO"</formula>
    </cfRule>
  </conditionalFormatting>
  <printOptions horizontalCentered="1"/>
  <pageMargins left="0.19685039370078741" right="0.19685039370078741" top="0.39370078740157483" bottom="0.39370078740157483" header="0" footer="0"/>
  <pageSetup paperSize="9" scale="75" orientation="portrait" blackAndWhite="1" r:id="rId1"/>
  <headerFooter alignWithMargins="0">
    <oddFooter xml:space="preserve">&amp;C
&amp;R&amp;12&amp;Y </oddFooter>
  </headerFooter>
  <rowBreaks count="2" manualBreakCount="2">
    <brk id="50" max="11" man="1"/>
    <brk id="140" max="11" man="1"/>
  </rowBreaks>
  <drawing r:id="rId2"/>
  <legacyDrawing r:id="rId3"/>
  <oleObjects>
    <mc:AlternateContent xmlns:mc="http://schemas.openxmlformats.org/markup-compatibility/2006">
      <mc:Choice Requires="x14">
        <oleObject progId="Equation.3" shapeId="499713" r:id="rId4">
          <objectPr defaultSize="0" autoPict="0" r:id="rId5">
            <anchor moveWithCells="1">
              <from>
                <xdr:col>0</xdr:col>
                <xdr:colOff>609600</xdr:colOff>
                <xdr:row>448</xdr:row>
                <xdr:rowOff>146050</xdr:rowOff>
              </from>
              <to>
                <xdr:col>1</xdr:col>
                <xdr:colOff>609600</xdr:colOff>
                <xdr:row>450</xdr:row>
                <xdr:rowOff>19050</xdr:rowOff>
              </to>
            </anchor>
          </objectPr>
        </oleObject>
      </mc:Choice>
      <mc:Fallback>
        <oleObject progId="Equation.3" shapeId="499713" r:id="rId4"/>
      </mc:Fallback>
    </mc:AlternateContent>
    <mc:AlternateContent xmlns:mc="http://schemas.openxmlformats.org/markup-compatibility/2006">
      <mc:Choice Requires="x14">
        <oleObject progId="Equation.3" shapeId="499714" r:id="rId6">
          <objectPr defaultSize="0" autoPict="0" r:id="rId7">
            <anchor moveWithCells="1">
              <from>
                <xdr:col>4</xdr:col>
                <xdr:colOff>76200</xdr:colOff>
                <xdr:row>448</xdr:row>
                <xdr:rowOff>107950</xdr:rowOff>
              </from>
              <to>
                <xdr:col>5</xdr:col>
                <xdr:colOff>146050</xdr:colOff>
                <xdr:row>449</xdr:row>
                <xdr:rowOff>209550</xdr:rowOff>
              </to>
            </anchor>
          </objectPr>
        </oleObject>
      </mc:Choice>
      <mc:Fallback>
        <oleObject progId="Equation.3" shapeId="499714" r:id="rId6"/>
      </mc:Fallback>
    </mc:AlternateContent>
    <mc:AlternateContent xmlns:mc="http://schemas.openxmlformats.org/markup-compatibility/2006">
      <mc:Choice Requires="x14">
        <oleObject progId="Equation.3" shapeId="499715" r:id="rId8">
          <objectPr defaultSize="0" autoPict="0" r:id="rId9">
            <anchor moveWithCells="1">
              <from>
                <xdr:col>4</xdr:col>
                <xdr:colOff>76200</xdr:colOff>
                <xdr:row>448</xdr:row>
                <xdr:rowOff>107950</xdr:rowOff>
              </from>
              <to>
                <xdr:col>5</xdr:col>
                <xdr:colOff>247650</xdr:colOff>
                <xdr:row>449</xdr:row>
                <xdr:rowOff>165100</xdr:rowOff>
              </to>
            </anchor>
          </objectPr>
        </oleObject>
      </mc:Choice>
      <mc:Fallback>
        <oleObject progId="Equation.3" shapeId="499715" r:id="rId8"/>
      </mc:Fallback>
    </mc:AlternateContent>
    <mc:AlternateContent xmlns:mc="http://schemas.openxmlformats.org/markup-compatibility/2006">
      <mc:Choice Requires="x14">
        <oleObject progId="Equation.3" shapeId="499716" r:id="rId10">
          <objectPr defaultSize="0" autoPict="0" r:id="rId11">
            <anchor moveWithCells="1">
              <from>
                <xdr:col>4</xdr:col>
                <xdr:colOff>685800</xdr:colOff>
                <xdr:row>448</xdr:row>
                <xdr:rowOff>146050</xdr:rowOff>
              </from>
              <to>
                <xdr:col>6</xdr:col>
                <xdr:colOff>50800</xdr:colOff>
                <xdr:row>449</xdr:row>
                <xdr:rowOff>203200</xdr:rowOff>
              </to>
            </anchor>
          </objectPr>
        </oleObject>
      </mc:Choice>
      <mc:Fallback>
        <oleObject progId="Equation.3" shapeId="499716" r:id="rId10"/>
      </mc:Fallback>
    </mc:AlternateContent>
    <mc:AlternateContent xmlns:mc="http://schemas.openxmlformats.org/markup-compatibility/2006">
      <mc:Choice Requires="x14">
        <oleObject progId="Equation.3" shapeId="499717" r:id="rId12">
          <objectPr defaultSize="0" autoPict="0" r:id="rId13">
            <anchor moveWithCells="1">
              <from>
                <xdr:col>2</xdr:col>
                <xdr:colOff>209550</xdr:colOff>
                <xdr:row>448</xdr:row>
                <xdr:rowOff>88900</xdr:rowOff>
              </from>
              <to>
                <xdr:col>3</xdr:col>
                <xdr:colOff>361950</xdr:colOff>
                <xdr:row>450</xdr:row>
                <xdr:rowOff>95250</xdr:rowOff>
              </to>
            </anchor>
          </objectPr>
        </oleObject>
      </mc:Choice>
      <mc:Fallback>
        <oleObject progId="Equation.3" shapeId="499717" r:id="rId12"/>
      </mc:Fallback>
    </mc:AlternateContent>
    <mc:AlternateContent xmlns:mc="http://schemas.openxmlformats.org/markup-compatibility/2006">
      <mc:Choice Requires="x14">
        <oleObject progId="Equation.3" shapeId="499718" r:id="rId14">
          <objectPr defaultSize="0" autoPict="0" r:id="rId15">
            <anchor moveWithCells="1">
              <from>
                <xdr:col>1</xdr:col>
                <xdr:colOff>19050</xdr:colOff>
                <xdr:row>449</xdr:row>
                <xdr:rowOff>19050</xdr:rowOff>
              </from>
              <to>
                <xdr:col>3</xdr:col>
                <xdr:colOff>190500</xdr:colOff>
                <xdr:row>450</xdr:row>
                <xdr:rowOff>165100</xdr:rowOff>
              </to>
            </anchor>
          </objectPr>
        </oleObject>
      </mc:Choice>
      <mc:Fallback>
        <oleObject progId="Equation.3" shapeId="499718" r:id="rId14"/>
      </mc:Fallback>
    </mc:AlternateContent>
    <mc:AlternateContent xmlns:mc="http://schemas.openxmlformats.org/markup-compatibility/2006">
      <mc:Choice Requires="x14">
        <oleObject progId="Equation.3" shapeId="499719" r:id="rId16">
          <objectPr defaultSize="0" autoPict="0" r:id="rId17">
            <anchor moveWithCells="1">
              <from>
                <xdr:col>1</xdr:col>
                <xdr:colOff>241300</xdr:colOff>
                <xdr:row>448</xdr:row>
                <xdr:rowOff>133350</xdr:rowOff>
              </from>
              <to>
                <xdr:col>2</xdr:col>
                <xdr:colOff>304800</xdr:colOff>
                <xdr:row>450</xdr:row>
                <xdr:rowOff>31750</xdr:rowOff>
              </to>
            </anchor>
          </objectPr>
        </oleObject>
      </mc:Choice>
      <mc:Fallback>
        <oleObject progId="Equation.3" shapeId="499719" r:id="rId16"/>
      </mc:Fallback>
    </mc:AlternateContent>
    <mc:AlternateContent xmlns:mc="http://schemas.openxmlformats.org/markup-compatibility/2006">
      <mc:Choice Requires="x14">
        <oleObject progId="Equation.3" shapeId="499720" r:id="rId18">
          <objectPr defaultSize="0" autoPict="0" r:id="rId9">
            <anchor moveWithCells="1">
              <from>
                <xdr:col>3</xdr:col>
                <xdr:colOff>476250</xdr:colOff>
                <xdr:row>448</xdr:row>
                <xdr:rowOff>88900</xdr:rowOff>
              </from>
              <to>
                <xdr:col>4</xdr:col>
                <xdr:colOff>666750</xdr:colOff>
                <xdr:row>449</xdr:row>
                <xdr:rowOff>203200</xdr:rowOff>
              </to>
            </anchor>
          </objectPr>
        </oleObject>
      </mc:Choice>
      <mc:Fallback>
        <oleObject progId="Equation.3" shapeId="499720" r:id="rId18"/>
      </mc:Fallback>
    </mc:AlternateContent>
    <mc:AlternateContent xmlns:mc="http://schemas.openxmlformats.org/markup-compatibility/2006">
      <mc:Choice Requires="x14">
        <oleObject progId="Equation.3" shapeId="499721" r:id="rId19">
          <objectPr defaultSize="0" autoPict="0" r:id="rId9">
            <anchor moveWithCells="1">
              <from>
                <xdr:col>3</xdr:col>
                <xdr:colOff>508000</xdr:colOff>
                <xdr:row>449</xdr:row>
                <xdr:rowOff>31750</xdr:rowOff>
              </from>
              <to>
                <xdr:col>4</xdr:col>
                <xdr:colOff>660400</xdr:colOff>
                <xdr:row>450</xdr:row>
                <xdr:rowOff>88900</xdr:rowOff>
              </to>
            </anchor>
          </objectPr>
        </oleObject>
      </mc:Choice>
      <mc:Fallback>
        <oleObject progId="Equation.3" shapeId="499721" r:id="rId19"/>
      </mc:Fallback>
    </mc:AlternateContent>
    <mc:AlternateContent xmlns:mc="http://schemas.openxmlformats.org/markup-compatibility/2006">
      <mc:Choice Requires="x14">
        <oleObject progId="Equation.3" shapeId="499722" r:id="rId20">
          <objectPr defaultSize="0" autoPict="0" r:id="rId17">
            <anchor moveWithCells="1">
              <from>
                <xdr:col>1</xdr:col>
                <xdr:colOff>241300</xdr:colOff>
                <xdr:row>448</xdr:row>
                <xdr:rowOff>127000</xdr:rowOff>
              </from>
              <to>
                <xdr:col>2</xdr:col>
                <xdr:colOff>304800</xdr:colOff>
                <xdr:row>450</xdr:row>
                <xdr:rowOff>19050</xdr:rowOff>
              </to>
            </anchor>
          </objectPr>
        </oleObject>
      </mc:Choice>
      <mc:Fallback>
        <oleObject progId="Equation.3" shapeId="499722" r:id="rId20"/>
      </mc:Fallback>
    </mc:AlternateContent>
    <mc:AlternateContent xmlns:mc="http://schemas.openxmlformats.org/markup-compatibility/2006">
      <mc:Choice Requires="x14">
        <oleObject progId="Equation.3" shapeId="499723" r:id="rId21">
          <objectPr defaultSize="0" autoPict="0" r:id="rId11">
            <anchor moveWithCells="1">
              <from>
                <xdr:col>5</xdr:col>
                <xdr:colOff>12700</xdr:colOff>
                <xdr:row>448</xdr:row>
                <xdr:rowOff>165100</xdr:rowOff>
              </from>
              <to>
                <xdr:col>6</xdr:col>
                <xdr:colOff>88900</xdr:colOff>
                <xdr:row>449</xdr:row>
                <xdr:rowOff>209550</xdr:rowOff>
              </to>
            </anchor>
          </objectPr>
        </oleObject>
      </mc:Choice>
      <mc:Fallback>
        <oleObject progId="Equation.3" shapeId="499723" r:id="rId21"/>
      </mc:Fallback>
    </mc:AlternateContent>
    <mc:AlternateContent xmlns:mc="http://schemas.openxmlformats.org/markup-compatibility/2006">
      <mc:Choice Requires="x14">
        <oleObject progId="Equation.3" shapeId="499724" r:id="rId22">
          <objectPr defaultSize="0" autoPict="0" r:id="rId23">
            <anchor moveWithCells="1" sizeWithCells="1">
              <from>
                <xdr:col>2</xdr:col>
                <xdr:colOff>431800</xdr:colOff>
                <xdr:row>312</xdr:row>
                <xdr:rowOff>31750</xdr:rowOff>
              </from>
              <to>
                <xdr:col>3</xdr:col>
                <xdr:colOff>628650</xdr:colOff>
                <xdr:row>314</xdr:row>
                <xdr:rowOff>114300</xdr:rowOff>
              </to>
            </anchor>
          </objectPr>
        </oleObject>
      </mc:Choice>
      <mc:Fallback>
        <oleObject progId="Equation.3" shapeId="499724" r:id="rId22"/>
      </mc:Fallback>
    </mc:AlternateContent>
    <mc:AlternateContent xmlns:mc="http://schemas.openxmlformats.org/markup-compatibility/2006">
      <mc:Choice Requires="x14">
        <oleObject progId="Equation.3" shapeId="499725" r:id="rId24">
          <objectPr defaultSize="0" autoPict="0" r:id="rId25">
            <anchor moveWithCells="1" sizeWithCells="1">
              <from>
                <xdr:col>2</xdr:col>
                <xdr:colOff>38100</xdr:colOff>
                <xdr:row>314</xdr:row>
                <xdr:rowOff>114300</xdr:rowOff>
              </from>
              <to>
                <xdr:col>3</xdr:col>
                <xdr:colOff>704850</xdr:colOff>
                <xdr:row>316</xdr:row>
                <xdr:rowOff>50800</xdr:rowOff>
              </to>
            </anchor>
          </objectPr>
        </oleObject>
      </mc:Choice>
      <mc:Fallback>
        <oleObject progId="Equation.3" shapeId="499725" r:id="rId24"/>
      </mc:Fallback>
    </mc:AlternateContent>
    <mc:AlternateContent xmlns:mc="http://schemas.openxmlformats.org/markup-compatibility/2006">
      <mc:Choice Requires="x14">
        <oleObject progId="Visio.Drawing.11" shapeId="499726" r:id="rId26">
          <objectPr defaultSize="0" autoPict="0" r:id="rId27">
            <anchor moveWithCells="1">
              <from>
                <xdr:col>9</xdr:col>
                <xdr:colOff>12700</xdr:colOff>
                <xdr:row>448</xdr:row>
                <xdr:rowOff>69850</xdr:rowOff>
              </from>
              <to>
                <xdr:col>10</xdr:col>
                <xdr:colOff>336550</xdr:colOff>
                <xdr:row>453</xdr:row>
                <xdr:rowOff>107950</xdr:rowOff>
              </to>
            </anchor>
          </objectPr>
        </oleObject>
      </mc:Choice>
      <mc:Fallback>
        <oleObject progId="Visio.Drawing.11" shapeId="499726" r:id="rId26"/>
      </mc:Fallback>
    </mc:AlternateContent>
    <mc:AlternateContent xmlns:mc="http://schemas.openxmlformats.org/markup-compatibility/2006">
      <mc:Choice Requires="x14">
        <oleObject progId="Visio.Drawing.11" shapeId="499727" r:id="rId28">
          <objectPr defaultSize="0" autoPict="0" r:id="rId29">
            <anchor moveWithCells="1">
              <from>
                <xdr:col>8</xdr:col>
                <xdr:colOff>152400</xdr:colOff>
                <xdr:row>448</xdr:row>
                <xdr:rowOff>69850</xdr:rowOff>
              </from>
              <to>
                <xdr:col>9</xdr:col>
                <xdr:colOff>469900</xdr:colOff>
                <xdr:row>453</xdr:row>
                <xdr:rowOff>88900</xdr:rowOff>
              </to>
            </anchor>
          </objectPr>
        </oleObject>
      </mc:Choice>
      <mc:Fallback>
        <oleObject progId="Visio.Drawing.11" shapeId="499727" r:id="rId28"/>
      </mc:Fallback>
    </mc:AlternateContent>
    <mc:AlternateContent xmlns:mc="http://schemas.openxmlformats.org/markup-compatibility/2006">
      <mc:Choice Requires="x14">
        <oleObject progId="Equation.DSMT4" shapeId="499728" r:id="rId30">
          <objectPr defaultSize="0" autoPict="0" r:id="rId31">
            <anchor moveWithCells="1" sizeWithCells="1">
              <from>
                <xdr:col>3</xdr:col>
                <xdr:colOff>31750</xdr:colOff>
                <xdr:row>147</xdr:row>
                <xdr:rowOff>50800</xdr:rowOff>
              </from>
              <to>
                <xdr:col>4</xdr:col>
                <xdr:colOff>247650</xdr:colOff>
                <xdr:row>148</xdr:row>
                <xdr:rowOff>38100</xdr:rowOff>
              </to>
            </anchor>
          </objectPr>
        </oleObject>
      </mc:Choice>
      <mc:Fallback>
        <oleObject progId="Equation.DSMT4" shapeId="499728" r:id="rId30"/>
      </mc:Fallback>
    </mc:AlternateContent>
    <mc:AlternateContent xmlns:mc="http://schemas.openxmlformats.org/markup-compatibility/2006">
      <mc:Choice Requires="x14">
        <oleObject progId="Equation.3" shapeId="499729" r:id="rId32">
          <objectPr defaultSize="0" autoPict="0" r:id="rId33">
            <anchor moveWithCells="1">
              <from>
                <xdr:col>1</xdr:col>
                <xdr:colOff>31750</xdr:colOff>
                <xdr:row>153</xdr:row>
                <xdr:rowOff>0</xdr:rowOff>
              </from>
              <to>
                <xdr:col>3</xdr:col>
                <xdr:colOff>628650</xdr:colOff>
                <xdr:row>154</xdr:row>
                <xdr:rowOff>184150</xdr:rowOff>
              </to>
            </anchor>
          </objectPr>
        </oleObject>
      </mc:Choice>
      <mc:Fallback>
        <oleObject progId="Equation.3" shapeId="499729" r:id="rId32"/>
      </mc:Fallback>
    </mc:AlternateContent>
    <mc:AlternateContent xmlns:mc="http://schemas.openxmlformats.org/markup-compatibility/2006">
      <mc:Choice Requires="x14">
        <oleObject progId="Equation.3" shapeId="499730" r:id="rId34">
          <objectPr defaultSize="0" autoPict="0" r:id="rId35">
            <anchor moveWithCells="1">
              <from>
                <xdr:col>5</xdr:col>
                <xdr:colOff>508000</xdr:colOff>
                <xdr:row>141</xdr:row>
                <xdr:rowOff>203200</xdr:rowOff>
              </from>
              <to>
                <xdr:col>7</xdr:col>
                <xdr:colOff>114300</xdr:colOff>
                <xdr:row>143</xdr:row>
                <xdr:rowOff>19050</xdr:rowOff>
              </to>
            </anchor>
          </objectPr>
        </oleObject>
      </mc:Choice>
      <mc:Fallback>
        <oleObject progId="Equation.3" shapeId="499730" r:id="rId34"/>
      </mc:Fallback>
    </mc:AlternateContent>
    <mc:AlternateContent xmlns:mc="http://schemas.openxmlformats.org/markup-compatibility/2006">
      <mc:Choice Requires="x14">
        <oleObject progId="Equation.3" shapeId="499731" r:id="rId36">
          <objectPr defaultSize="0" autoPict="0" r:id="rId37">
            <anchor moveWithCells="1">
              <from>
                <xdr:col>2</xdr:col>
                <xdr:colOff>603250</xdr:colOff>
                <xdr:row>142</xdr:row>
                <xdr:rowOff>247650</xdr:rowOff>
              </from>
              <to>
                <xdr:col>5</xdr:col>
                <xdr:colOff>50800</xdr:colOff>
                <xdr:row>144</xdr:row>
                <xdr:rowOff>88900</xdr:rowOff>
              </to>
            </anchor>
          </objectPr>
        </oleObject>
      </mc:Choice>
      <mc:Fallback>
        <oleObject progId="Equation.3" shapeId="499731" r:id="rId36"/>
      </mc:Fallback>
    </mc:AlternateContent>
    <mc:AlternateContent xmlns:mc="http://schemas.openxmlformats.org/markup-compatibility/2006">
      <mc:Choice Requires="x14">
        <oleObject progId="Equation.3" shapeId="499732" r:id="rId38">
          <objectPr defaultSize="0" autoPict="0" r:id="rId39">
            <anchor moveWithCells="1">
              <from>
                <xdr:col>5</xdr:col>
                <xdr:colOff>508000</xdr:colOff>
                <xdr:row>143</xdr:row>
                <xdr:rowOff>273050</xdr:rowOff>
              </from>
              <to>
                <xdr:col>7</xdr:col>
                <xdr:colOff>139700</xdr:colOff>
                <xdr:row>145</xdr:row>
                <xdr:rowOff>69850</xdr:rowOff>
              </to>
            </anchor>
          </objectPr>
        </oleObject>
      </mc:Choice>
      <mc:Fallback>
        <oleObject progId="Equation.3" shapeId="499732" r:id="rId38"/>
      </mc:Fallback>
    </mc:AlternateContent>
    <mc:AlternateContent xmlns:mc="http://schemas.openxmlformats.org/markup-compatibility/2006">
      <mc:Choice Requires="x14">
        <oleObject progId="Equation.3" shapeId="499733" r:id="rId40">
          <objectPr defaultSize="0" autoPict="0" r:id="rId41">
            <anchor moveWithCells="1">
              <from>
                <xdr:col>2</xdr:col>
                <xdr:colOff>622300</xdr:colOff>
                <xdr:row>144</xdr:row>
                <xdr:rowOff>336550</xdr:rowOff>
              </from>
              <to>
                <xdr:col>5</xdr:col>
                <xdr:colOff>19050</xdr:colOff>
                <xdr:row>146</xdr:row>
                <xdr:rowOff>31750</xdr:rowOff>
              </to>
            </anchor>
          </objectPr>
        </oleObject>
      </mc:Choice>
      <mc:Fallback>
        <oleObject progId="Equation.3" shapeId="499733" r:id="rId4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7"/>
  <dimension ref="A1:AO380"/>
  <sheetViews>
    <sheetView view="pageBreakPreview" topLeftCell="A215" zoomScaleNormal="100" zoomScaleSheetLayoutView="100" workbookViewId="0">
      <selection activeCell="E233" sqref="E233"/>
    </sheetView>
  </sheetViews>
  <sheetFormatPr defaultColWidth="10.69921875" defaultRowHeight="19.899999999999999" customHeight="1" outlineLevelRow="1"/>
  <cols>
    <col min="1" max="1" width="12.09765625" style="401" customWidth="1"/>
    <col min="2" max="2" width="12.09765625" style="258" customWidth="1"/>
    <col min="3" max="3" width="11.3984375" style="258" bestFit="1" customWidth="1"/>
    <col min="4" max="4" width="10.69921875" style="258"/>
    <col min="5" max="5" width="12.3984375" style="258" bestFit="1" customWidth="1"/>
    <col min="6" max="6" width="12.296875" style="258" bestFit="1" customWidth="1"/>
    <col min="7" max="7" width="11.8984375" style="258" customWidth="1"/>
    <col min="8" max="8" width="12.59765625" style="258" customWidth="1"/>
    <col min="9" max="9" width="10.8984375" style="258" customWidth="1"/>
    <col min="10" max="10" width="9.296875" style="258" customWidth="1"/>
    <col min="11" max="11" width="10.69921875" style="258"/>
    <col min="12" max="12" width="10" style="258" customWidth="1"/>
    <col min="13" max="13" width="20.09765625" style="258" customWidth="1"/>
    <col min="14" max="15" width="12.69921875" style="258" customWidth="1"/>
    <col min="16" max="16" width="10.69921875" style="258"/>
    <col min="17" max="17" width="11" style="258" bestFit="1" customWidth="1"/>
    <col min="18" max="18" width="10.69921875" style="258"/>
    <col min="19" max="19" width="12.3984375" style="258" customWidth="1"/>
    <col min="20" max="20" width="13.59765625" style="258" bestFit="1" customWidth="1"/>
    <col min="21" max="16384" width="10.69921875" style="258"/>
  </cols>
  <sheetData>
    <row r="1" spans="1:21" ht="19.899999999999999" customHeight="1">
      <c r="A1" s="1664" t="s">
        <v>534</v>
      </c>
      <c r="B1" s="1664"/>
      <c r="C1" s="1155" t="s">
        <v>935</v>
      </c>
      <c r="D1" s="1155"/>
      <c r="E1" s="1155"/>
      <c r="F1" s="1155"/>
      <c r="G1" s="1155"/>
      <c r="H1" s="1155"/>
      <c r="I1" s="408"/>
      <c r="J1" s="696"/>
      <c r="K1" s="696"/>
      <c r="L1" s="696"/>
      <c r="M1" s="678"/>
      <c r="N1" s="689" t="str">
        <f>J3</f>
        <v>MB 2.6-5x6</v>
      </c>
    </row>
    <row r="2" spans="1:21" ht="19.899999999999999" customHeight="1">
      <c r="A2" s="1664" t="s">
        <v>535</v>
      </c>
      <c r="B2" s="1664"/>
      <c r="C2" s="1665" t="s">
        <v>891</v>
      </c>
      <c r="D2" s="1665"/>
      <c r="E2" s="1665"/>
      <c r="F2" s="1665"/>
      <c r="G2" s="1665"/>
      <c r="H2" s="1155"/>
      <c r="I2" s="1155"/>
      <c r="J2" s="1155"/>
      <c r="K2" s="696"/>
      <c r="L2" s="696"/>
      <c r="M2" s="761" t="s">
        <v>863</v>
      </c>
      <c r="N2" s="762" t="s">
        <v>873</v>
      </c>
      <c r="P2" s="763" t="s">
        <v>864</v>
      </c>
    </row>
    <row r="3" spans="1:21" ht="19.899999999999999" customHeight="1">
      <c r="A3" s="1664" t="s">
        <v>536</v>
      </c>
      <c r="B3" s="1664"/>
      <c r="C3" s="1665" t="str">
        <f>O6</f>
        <v>D411-25</v>
      </c>
      <c r="D3" s="1665"/>
      <c r="E3" s="1665"/>
      <c r="F3" s="1665"/>
      <c r="I3" s="1191" t="s">
        <v>926</v>
      </c>
      <c r="J3" s="1192" t="str">
        <f>+"MB "&amp;K7&amp;"-"&amp;K10&amp;"x"&amp;K11</f>
        <v>MB 2.6-5x6</v>
      </c>
      <c r="K3" s="696"/>
      <c r="L3" s="696"/>
      <c r="M3" s="764" t="s">
        <v>865</v>
      </c>
      <c r="N3" s="766" t="s">
        <v>872</v>
      </c>
      <c r="O3" s="765" t="s">
        <v>866</v>
      </c>
    </row>
    <row r="4" spans="1:21" ht="19.899999999999999" customHeight="1">
      <c r="D4" s="1155"/>
      <c r="E4" s="1155" t="s">
        <v>927</v>
      </c>
      <c r="F4" s="1155"/>
      <c r="G4" s="1155"/>
      <c r="H4" s="696"/>
      <c r="I4" s="1185"/>
      <c r="J4" s="696"/>
      <c r="K4" s="696"/>
      <c r="L4" s="696"/>
      <c r="M4" s="678"/>
      <c r="N4" s="669" t="s">
        <v>658</v>
      </c>
      <c r="O4" s="409"/>
    </row>
    <row r="5" spans="1:21" ht="19.899999999999999" hidden="1" customHeight="1">
      <c r="A5" s="665"/>
      <c r="B5" s="402"/>
      <c r="C5" s="403"/>
      <c r="D5" s="403"/>
      <c r="E5" s="402"/>
      <c r="F5" s="402"/>
      <c r="G5" s="404"/>
      <c r="H5" s="405"/>
      <c r="I5" s="410"/>
      <c r="J5" s="7"/>
      <c r="K5" s="7"/>
      <c r="L5" s="7"/>
      <c r="M5" s="678"/>
    </row>
    <row r="6" spans="1:21" ht="19.899999999999999" customHeight="1">
      <c r="A6" s="704"/>
      <c r="B6" s="872"/>
      <c r="C6" s="872"/>
      <c r="D6" s="872"/>
      <c r="E6" s="872"/>
      <c r="F6" s="872"/>
      <c r="G6" s="872"/>
      <c r="H6" s="872"/>
      <c r="I6" s="872"/>
      <c r="J6" s="1186" t="s">
        <v>200</v>
      </c>
      <c r="K6" s="872"/>
      <c r="L6" s="696"/>
      <c r="M6" s="678"/>
      <c r="N6" s="1156" t="s">
        <v>507</v>
      </c>
      <c r="O6" s="1157" t="s">
        <v>936</v>
      </c>
      <c r="P6" s="1656" t="s">
        <v>727</v>
      </c>
      <c r="Q6" s="1657"/>
      <c r="R6" s="1657"/>
      <c r="S6" s="1657"/>
      <c r="T6" s="1657"/>
      <c r="U6" s="1658"/>
    </row>
    <row r="7" spans="1:21" ht="19.899999999999999" customHeight="1">
      <c r="A7" s="704"/>
      <c r="B7" s="696"/>
      <c r="C7" s="696"/>
      <c r="D7" s="696"/>
      <c r="E7" s="696"/>
      <c r="F7" s="696"/>
      <c r="G7" s="696"/>
      <c r="H7" s="696"/>
      <c r="I7" s="696"/>
      <c r="J7" s="701" t="s">
        <v>775</v>
      </c>
      <c r="K7" s="705">
        <f>O7/1000</f>
        <v>2.6</v>
      </c>
      <c r="L7" s="704" t="s">
        <v>0</v>
      </c>
      <c r="M7" s="678"/>
      <c r="N7" s="1158">
        <v>2600</v>
      </c>
      <c r="O7" s="1158">
        <f>N7</f>
        <v>2600</v>
      </c>
      <c r="P7" s="424" t="s">
        <v>720</v>
      </c>
      <c r="Q7" s="424" t="s">
        <v>721</v>
      </c>
      <c r="R7" s="424" t="s">
        <v>722</v>
      </c>
      <c r="S7" s="424" t="s">
        <v>723</v>
      </c>
      <c r="T7" s="424" t="s">
        <v>724</v>
      </c>
      <c r="U7" s="424" t="s">
        <v>725</v>
      </c>
    </row>
    <row r="8" spans="1:21" ht="19.899999999999999" customHeight="1">
      <c r="A8" s="704"/>
      <c r="B8" s="696"/>
      <c r="C8" s="696"/>
      <c r="D8" s="696"/>
      <c r="E8" s="696"/>
      <c r="F8" s="696"/>
      <c r="G8" s="696"/>
      <c r="H8" s="696"/>
      <c r="I8" s="696"/>
      <c r="J8" s="701" t="s">
        <v>776</v>
      </c>
      <c r="K8" s="705">
        <f>+K7</f>
        <v>2.6</v>
      </c>
      <c r="L8" s="704" t="s">
        <v>0</v>
      </c>
      <c r="M8" s="678">
        <f>4.8*5.4*0.1</f>
        <v>2.5920000000000005</v>
      </c>
      <c r="N8" s="1659" t="s">
        <v>508</v>
      </c>
      <c r="O8" s="1159" t="s">
        <v>500</v>
      </c>
      <c r="P8" s="1160">
        <v>-1.6875</v>
      </c>
      <c r="Q8" s="1160">
        <v>-1.4111</v>
      </c>
      <c r="R8" s="1160">
        <v>17.914300000000001</v>
      </c>
      <c r="S8" s="1160">
        <v>-6.8500000000000005E-2</v>
      </c>
      <c r="T8" s="1160">
        <v>4.6400000000000004E-2</v>
      </c>
      <c r="U8" s="1160">
        <v>1.4E-3</v>
      </c>
    </row>
    <row r="9" spans="1:21" ht="19.899999999999999" customHeight="1">
      <c r="A9" s="704"/>
      <c r="B9" s="696"/>
      <c r="C9" s="696"/>
      <c r="D9" s="696"/>
      <c r="E9" s="696"/>
      <c r="F9" s="696"/>
      <c r="G9" s="696"/>
      <c r="H9" s="696"/>
      <c r="I9" s="696"/>
      <c r="J9" s="704" t="s">
        <v>537</v>
      </c>
      <c r="K9" s="699"/>
      <c r="L9" s="704"/>
      <c r="M9" s="678"/>
      <c r="N9" s="1660"/>
      <c r="O9" s="1161" t="s">
        <v>501</v>
      </c>
      <c r="P9" s="1162">
        <v>-1.8271000000000002</v>
      </c>
      <c r="Q9" s="1162">
        <v>-1.8968</v>
      </c>
      <c r="R9" s="1162">
        <v>-20.9922</v>
      </c>
      <c r="S9" s="1162">
        <v>-5.9699999999999996E-2</v>
      </c>
      <c r="T9" s="1162">
        <v>7.6700000000000004E-2</v>
      </c>
      <c r="U9" s="1162">
        <v>1E-3</v>
      </c>
    </row>
    <row r="10" spans="1:21" ht="19.899999999999999" customHeight="1">
      <c r="A10" s="704"/>
      <c r="B10" s="696"/>
      <c r="C10" s="696"/>
      <c r="D10" s="696"/>
      <c r="E10" s="696"/>
      <c r="F10" s="696"/>
      <c r="G10" s="696"/>
      <c r="H10" s="696"/>
      <c r="I10" s="696"/>
      <c r="J10" s="701" t="s">
        <v>111</v>
      </c>
      <c r="K10" s="705">
        <v>5</v>
      </c>
      <c r="L10" s="704" t="s">
        <v>0</v>
      </c>
      <c r="M10" s="1154" t="s">
        <v>869</v>
      </c>
      <c r="N10" s="1627" t="s">
        <v>509</v>
      </c>
      <c r="O10" s="1161" t="s">
        <v>510</v>
      </c>
      <c r="P10" s="1162">
        <v>-2.5344000000000002</v>
      </c>
      <c r="Q10" s="1162">
        <v>-1.7965</v>
      </c>
      <c r="R10" s="1162">
        <v>6.3949999999999987</v>
      </c>
      <c r="S10" s="1162">
        <v>26.654080000000004</v>
      </c>
      <c r="T10" s="1162">
        <v>47.466300000000004</v>
      </c>
      <c r="U10" s="1162">
        <v>0.29313599999999995</v>
      </c>
    </row>
    <row r="11" spans="1:21" ht="19.899999999999999" customHeight="1">
      <c r="A11" s="704"/>
      <c r="B11" s="696"/>
      <c r="C11" s="696"/>
      <c r="D11" s="696"/>
      <c r="E11" s="696"/>
      <c r="F11" s="696"/>
      <c r="G11" s="696"/>
      <c r="H11" s="696"/>
      <c r="I11" s="696"/>
      <c r="J11" s="701" t="s">
        <v>112</v>
      </c>
      <c r="K11" s="705">
        <v>6</v>
      </c>
      <c r="L11" s="704" t="s">
        <v>0</v>
      </c>
      <c r="M11" s="678" t="s">
        <v>870</v>
      </c>
      <c r="N11" s="1628"/>
      <c r="O11" s="1161" t="s">
        <v>511</v>
      </c>
      <c r="P11" s="1162">
        <v>-2.4743999999999997</v>
      </c>
      <c r="Q11" s="1162">
        <v>-2.9365000000000001</v>
      </c>
      <c r="R11" s="1162">
        <v>6.1550999999999991</v>
      </c>
      <c r="S11" s="1162">
        <v>55.32799</v>
      </c>
      <c r="T11" s="1162">
        <v>45.799009999999996</v>
      </c>
      <c r="U11" s="1162">
        <v>0.40751799999999994</v>
      </c>
    </row>
    <row r="12" spans="1:21" ht="19.899999999999999" customHeight="1">
      <c r="A12" s="704"/>
      <c r="B12" s="696"/>
      <c r="C12" s="696"/>
      <c r="D12" s="696"/>
      <c r="E12" s="696"/>
      <c r="F12" s="696"/>
      <c r="G12" s="696"/>
      <c r="H12" s="696"/>
      <c r="I12" s="696"/>
      <c r="J12" s="701" t="s">
        <v>120</v>
      </c>
      <c r="K12" s="699">
        <f>+ROUND(K11/K10,2)</f>
        <v>1.2</v>
      </c>
      <c r="L12" s="704"/>
      <c r="M12" s="678"/>
      <c r="N12" s="1628"/>
      <c r="O12" s="1163" t="s">
        <v>498</v>
      </c>
      <c r="P12" s="1162">
        <v>-2.4743999999999997</v>
      </c>
      <c r="Q12" s="1162">
        <v>-2.9365000000000001</v>
      </c>
      <c r="R12" s="1162">
        <v>6.1550999999999991</v>
      </c>
      <c r="S12" s="1162">
        <v>55.32799</v>
      </c>
      <c r="T12" s="1162">
        <v>45.799009999999996</v>
      </c>
      <c r="U12" s="1162">
        <v>0.40751799999999994</v>
      </c>
    </row>
    <row r="13" spans="1:21" ht="19.899999999999999" customHeight="1">
      <c r="A13" s="704"/>
      <c r="B13" s="696"/>
      <c r="C13" s="696"/>
      <c r="D13" s="696"/>
      <c r="E13" s="696"/>
      <c r="F13" s="696"/>
      <c r="G13" s="696"/>
      <c r="H13" s="696"/>
      <c r="I13" s="696"/>
      <c r="J13" s="704" t="s">
        <v>201</v>
      </c>
      <c r="K13" s="696"/>
      <c r="L13" s="696"/>
      <c r="M13" s="678"/>
      <c r="N13" s="1629"/>
      <c r="O13" s="1164" t="s">
        <v>719</v>
      </c>
      <c r="P13" s="1165">
        <v>-1.1499999999999999</v>
      </c>
      <c r="Q13" s="1165">
        <v>0</v>
      </c>
      <c r="R13" s="1165">
        <v>5.6476999999999995</v>
      </c>
      <c r="S13" s="1165">
        <v>-0.23856999999999928</v>
      </c>
      <c r="T13" s="1165">
        <v>27.861709999999999</v>
      </c>
      <c r="U13" s="1165">
        <v>7.3858999999999994E-2</v>
      </c>
    </row>
    <row r="14" spans="1:21" ht="19.899999999999999" customHeight="1">
      <c r="A14" s="704"/>
      <c r="B14" s="696"/>
      <c r="C14" s="696"/>
      <c r="D14" s="696"/>
      <c r="E14" s="696"/>
      <c r="F14" s="696"/>
      <c r="G14" s="696"/>
      <c r="H14" s="696"/>
      <c r="I14" s="696"/>
      <c r="J14" s="701" t="s">
        <v>823</v>
      </c>
      <c r="K14" s="705">
        <v>2.5</v>
      </c>
      <c r="L14" s="704" t="s">
        <v>0</v>
      </c>
      <c r="M14" s="678"/>
      <c r="N14"/>
      <c r="O14"/>
      <c r="P14"/>
      <c r="Q14"/>
      <c r="R14"/>
      <c r="S14"/>
      <c r="T14"/>
      <c r="U14"/>
    </row>
    <row r="15" spans="1:21" ht="19.899999999999999" customHeight="1">
      <c r="A15" s="704"/>
      <c r="B15" s="696"/>
      <c r="C15" s="696"/>
      <c r="D15" s="696"/>
      <c r="E15" s="696"/>
      <c r="F15" s="696"/>
      <c r="G15" s="696"/>
      <c r="H15" s="696"/>
      <c r="I15" s="696"/>
      <c r="J15" s="700" t="s">
        <v>548</v>
      </c>
      <c r="K15" s="696"/>
      <c r="L15" s="696"/>
      <c r="M15" s="678"/>
      <c r="N15" s="670" t="s">
        <v>665</v>
      </c>
      <c r="O15"/>
      <c r="P15"/>
      <c r="Q15"/>
      <c r="R15" t="s">
        <v>704</v>
      </c>
      <c r="S15"/>
      <c r="T15"/>
      <c r="U15"/>
    </row>
    <row r="16" spans="1:21" ht="19.899999999999999" customHeight="1">
      <c r="A16" s="704"/>
      <c r="B16" s="696"/>
      <c r="C16" s="696"/>
      <c r="D16" s="696"/>
      <c r="E16" s="696"/>
      <c r="F16" s="696"/>
      <c r="G16" s="696"/>
      <c r="H16" s="696"/>
      <c r="I16" s="696"/>
      <c r="J16" s="701" t="s">
        <v>822</v>
      </c>
      <c r="K16" s="705">
        <v>1</v>
      </c>
      <c r="L16" s="704" t="s">
        <v>0</v>
      </c>
      <c r="M16" s="678"/>
      <c r="N16" s="658" t="s">
        <v>659</v>
      </c>
      <c r="O16" s="658" t="s">
        <v>660</v>
      </c>
      <c r="P16" s="658" t="s">
        <v>630</v>
      </c>
      <c r="Q16" s="658" t="s">
        <v>661</v>
      </c>
      <c r="R16" s="658" t="s">
        <v>662</v>
      </c>
      <c r="S16" s="658" t="s">
        <v>663</v>
      </c>
      <c r="T16" s="658" t="s">
        <v>664</v>
      </c>
      <c r="U16"/>
    </row>
    <row r="17" spans="1:21" ht="19.899999999999999" customHeight="1">
      <c r="A17" s="704"/>
      <c r="B17" s="696"/>
      <c r="C17" s="696"/>
      <c r="D17" s="696"/>
      <c r="E17" s="696"/>
      <c r="F17" s="696"/>
      <c r="G17" s="1512">
        <f>G26</f>
        <v>1.2</v>
      </c>
      <c r="H17" s="696"/>
      <c r="I17" s="696"/>
      <c r="J17" s="704" t="s">
        <v>538</v>
      </c>
      <c r="K17" s="699"/>
      <c r="L17" s="704"/>
      <c r="M17" s="678"/>
      <c r="N17" s="672">
        <v>21</v>
      </c>
      <c r="O17" s="672">
        <v>23</v>
      </c>
      <c r="P17" s="672">
        <v>27</v>
      </c>
      <c r="Q17" s="672">
        <v>30</v>
      </c>
      <c r="R17" s="672">
        <v>32.5</v>
      </c>
      <c r="S17" s="672">
        <v>34.5</v>
      </c>
      <c r="T17" s="672">
        <v>36</v>
      </c>
      <c r="U17"/>
    </row>
    <row r="18" spans="1:21" ht="19.899999999999999" customHeight="1">
      <c r="A18" s="704"/>
      <c r="B18" s="696"/>
      <c r="C18" s="696"/>
      <c r="D18" s="696"/>
      <c r="E18" s="696"/>
      <c r="F18" s="696"/>
      <c r="G18" s="1513"/>
      <c r="H18" s="696"/>
      <c r="I18" s="696"/>
      <c r="J18" s="701" t="s">
        <v>74</v>
      </c>
      <c r="K18" s="699">
        <f>K14+K16</f>
        <v>3.5</v>
      </c>
      <c r="L18" s="704" t="s">
        <v>0</v>
      </c>
      <c r="M18" s="679" t="s">
        <v>669</v>
      </c>
      <c r="N18" s="658">
        <f>N17*100*1000</f>
        <v>2100000</v>
      </c>
      <c r="O18" s="658">
        <f t="shared" ref="O18:T18" si="0">O17*100*1000</f>
        <v>2300000</v>
      </c>
      <c r="P18" s="658">
        <f t="shared" si="0"/>
        <v>2700000</v>
      </c>
      <c r="Q18" s="658">
        <f t="shared" si="0"/>
        <v>3000000</v>
      </c>
      <c r="R18" s="658">
        <f t="shared" si="0"/>
        <v>3250000</v>
      </c>
      <c r="S18" s="658">
        <f t="shared" si="0"/>
        <v>3450000</v>
      </c>
      <c r="T18" s="658">
        <f t="shared" si="0"/>
        <v>3600000</v>
      </c>
      <c r="U18"/>
    </row>
    <row r="19" spans="1:21" ht="19.899999999999999" customHeight="1">
      <c r="A19" s="704"/>
      <c r="B19" s="696"/>
      <c r="C19" s="696"/>
      <c r="D19" s="696"/>
      <c r="E19" s="696"/>
      <c r="F19" s="696"/>
      <c r="G19" s="696"/>
      <c r="H19" s="696"/>
      <c r="I19" s="696"/>
      <c r="J19" s="704" t="s">
        <v>540</v>
      </c>
      <c r="K19" s="699"/>
      <c r="L19" s="704"/>
      <c r="M19" s="678"/>
      <c r="N19"/>
      <c r="O19"/>
      <c r="P19"/>
      <c r="Q19"/>
      <c r="R19"/>
      <c r="S19"/>
      <c r="T19"/>
      <c r="U19"/>
    </row>
    <row r="20" spans="1:21" ht="19.899999999999999" customHeight="1">
      <c r="A20" s="704"/>
      <c r="B20" s="696"/>
      <c r="C20" s="696"/>
      <c r="D20" s="696"/>
      <c r="E20" s="696"/>
      <c r="F20" s="696"/>
      <c r="G20" s="1512">
        <f>K8</f>
        <v>2.6</v>
      </c>
      <c r="H20" s="696"/>
      <c r="I20" s="696"/>
      <c r="J20" s="701" t="s">
        <v>892</v>
      </c>
      <c r="K20" s="705">
        <v>0.5</v>
      </c>
      <c r="L20" s="704" t="s">
        <v>0</v>
      </c>
      <c r="M20" s="704" t="s">
        <v>539</v>
      </c>
      <c r="N20" s="699"/>
      <c r="O20" s="704"/>
      <c r="P20"/>
      <c r="Q20"/>
      <c r="R20"/>
      <c r="S20"/>
      <c r="T20"/>
      <c r="U20"/>
    </row>
    <row r="21" spans="1:21" ht="19.899999999999999" customHeight="1" thickBot="1">
      <c r="A21" s="704"/>
      <c r="B21" s="696"/>
      <c r="C21" s="696"/>
      <c r="D21" s="696"/>
      <c r="E21" s="696"/>
      <c r="F21" s="696"/>
      <c r="G21" s="1513"/>
      <c r="H21" s="696"/>
      <c r="I21" s="696"/>
      <c r="J21" s="701" t="s">
        <v>893</v>
      </c>
      <c r="K21" s="705">
        <v>0.3</v>
      </c>
      <c r="L21" s="704" t="s">
        <v>0</v>
      </c>
      <c r="M21" s="701" t="s">
        <v>67</v>
      </c>
      <c r="N21" s="705">
        <f>K23</f>
        <v>1</v>
      </c>
      <c r="O21" s="704" t="s">
        <v>0</v>
      </c>
      <c r="P21"/>
      <c r="Q21"/>
      <c r="R21"/>
      <c r="S21"/>
      <c r="T21"/>
      <c r="U21"/>
    </row>
    <row r="22" spans="1:21" ht="19.899999999999999" customHeight="1">
      <c r="A22" s="704"/>
      <c r="B22" s="696"/>
      <c r="C22" s="696"/>
      <c r="D22" s="696"/>
      <c r="E22" s="696"/>
      <c r="F22" s="696"/>
      <c r="G22" s="1513"/>
      <c r="H22" s="696"/>
      <c r="I22" s="696"/>
      <c r="J22" s="704" t="s">
        <v>541</v>
      </c>
      <c r="K22" s="699"/>
      <c r="L22" s="704"/>
      <c r="M22" s="701" t="s">
        <v>68</v>
      </c>
      <c r="N22" s="705">
        <f>K20</f>
        <v>0.5</v>
      </c>
      <c r="O22" s="704" t="s">
        <v>0</v>
      </c>
      <c r="P22" s="411">
        <v>28</v>
      </c>
      <c r="Q22" s="412">
        <f>+P22/1000</f>
        <v>2.8000000000000001E-2</v>
      </c>
      <c r="R22" s="413">
        <f t="shared" ref="R22:R29" si="1">3.14*Q22^2/4*7850</f>
        <v>4.8312040000000005</v>
      </c>
      <c r="S22" s="414">
        <f t="shared" ref="S22:S29" si="2">3.14*Q22^2/4*10000</f>
        <v>6.1544000000000008</v>
      </c>
    </row>
    <row r="23" spans="1:21" ht="19.899999999999999" customHeight="1">
      <c r="A23" s="704"/>
      <c r="B23" s="696"/>
      <c r="C23" s="696"/>
      <c r="D23" s="696"/>
      <c r="E23" s="696"/>
      <c r="F23" s="696"/>
      <c r="G23" s="1513"/>
      <c r="H23" s="696"/>
      <c r="I23" s="696"/>
      <c r="J23" s="701" t="s">
        <v>73</v>
      </c>
      <c r="K23" s="705">
        <v>1</v>
      </c>
      <c r="L23" s="704" t="s">
        <v>0</v>
      </c>
      <c r="M23" s="701" t="s">
        <v>75</v>
      </c>
      <c r="N23" s="699">
        <f>K23/2</f>
        <v>0.5</v>
      </c>
      <c r="O23" s="704" t="s">
        <v>0</v>
      </c>
      <c r="P23" s="415">
        <v>25</v>
      </c>
      <c r="Q23" s="416">
        <f t="shared" ref="Q23:Q29" si="3">+P23/1000</f>
        <v>2.5000000000000001E-2</v>
      </c>
      <c r="R23" s="417">
        <f t="shared" si="1"/>
        <v>3.8514062500000006</v>
      </c>
      <c r="S23" s="418">
        <f>3.14*Q23^2/4*10000</f>
        <v>4.9062500000000009</v>
      </c>
    </row>
    <row r="24" spans="1:21" ht="19.899999999999999" customHeight="1">
      <c r="A24" s="704"/>
      <c r="B24" s="696"/>
      <c r="C24" s="696"/>
      <c r="D24" s="696"/>
      <c r="E24" s="696"/>
      <c r="F24" s="696"/>
      <c r="G24" s="696"/>
      <c r="H24" s="696"/>
      <c r="I24" s="696"/>
      <c r="J24" s="704" t="s">
        <v>542</v>
      </c>
      <c r="K24" s="696"/>
      <c r="L24" s="704"/>
      <c r="M24" s="678"/>
      <c r="P24" s="415">
        <v>22</v>
      </c>
      <c r="Q24" s="416">
        <f t="shared" si="3"/>
        <v>2.1999999999999999E-2</v>
      </c>
      <c r="R24" s="417">
        <f t="shared" si="1"/>
        <v>2.982529</v>
      </c>
      <c r="S24" s="418">
        <f t="shared" si="2"/>
        <v>3.7993999999999999</v>
      </c>
    </row>
    <row r="25" spans="1:21" ht="19.899999999999999" customHeight="1">
      <c r="A25" s="704"/>
      <c r="B25" s="696"/>
      <c r="C25" s="696"/>
      <c r="D25" s="696"/>
      <c r="E25" s="696"/>
      <c r="F25" s="696"/>
      <c r="G25" s="696"/>
      <c r="H25" s="696"/>
      <c r="I25" s="696"/>
      <c r="J25" s="701" t="s">
        <v>895</v>
      </c>
      <c r="K25" s="702">
        <f>K7-K23</f>
        <v>1.6</v>
      </c>
      <c r="L25" s="704" t="s">
        <v>0</v>
      </c>
      <c r="M25" s="678"/>
      <c r="O25" s="258" t="s">
        <v>502</v>
      </c>
      <c r="P25" s="415">
        <v>20</v>
      </c>
      <c r="Q25" s="416">
        <f t="shared" si="3"/>
        <v>0.02</v>
      </c>
      <c r="R25" s="417">
        <f t="shared" si="1"/>
        <v>2.4649000000000005</v>
      </c>
      <c r="S25" s="418">
        <f t="shared" si="2"/>
        <v>3.1400000000000006</v>
      </c>
    </row>
    <row r="26" spans="1:21" ht="19.899999999999999" customHeight="1">
      <c r="A26" s="704"/>
      <c r="B26" s="696"/>
      <c r="C26" s="696"/>
      <c r="D26" s="696"/>
      <c r="E26" s="696"/>
      <c r="F26" s="696"/>
      <c r="G26" s="1512">
        <f>(K10-K7)/2</f>
        <v>1.2</v>
      </c>
      <c r="H26" s="696"/>
      <c r="I26" s="696"/>
      <c r="J26" s="701" t="s">
        <v>894</v>
      </c>
      <c r="K26" s="702">
        <f>(K10-K7-K23)/2</f>
        <v>0.7</v>
      </c>
      <c r="L26" s="704" t="s">
        <v>0</v>
      </c>
      <c r="M26" s="678"/>
      <c r="P26" s="415">
        <v>18</v>
      </c>
      <c r="Q26" s="416">
        <f t="shared" si="3"/>
        <v>1.7999999999999999E-2</v>
      </c>
      <c r="R26" s="417">
        <f t="shared" si="1"/>
        <v>1.9965689999999998</v>
      </c>
      <c r="S26" s="418">
        <f t="shared" si="2"/>
        <v>2.5433999999999997</v>
      </c>
    </row>
    <row r="27" spans="1:21" ht="19.899999999999999" customHeight="1">
      <c r="A27" s="704"/>
      <c r="B27" s="696"/>
      <c r="C27" s="696"/>
      <c r="D27" s="696"/>
      <c r="E27" s="696"/>
      <c r="F27" s="696"/>
      <c r="G27" s="1513"/>
      <c r="H27" s="696"/>
      <c r="I27" s="696"/>
      <c r="J27" s="701" t="s">
        <v>896</v>
      </c>
      <c r="K27" s="702">
        <f>K8-K23</f>
        <v>1.6</v>
      </c>
      <c r="L27" s="704" t="s">
        <v>0</v>
      </c>
      <c r="M27" s="678"/>
      <c r="P27" s="415">
        <v>16</v>
      </c>
      <c r="Q27" s="416">
        <f t="shared" si="3"/>
        <v>1.6E-2</v>
      </c>
      <c r="R27" s="417">
        <f t="shared" si="1"/>
        <v>1.577536</v>
      </c>
      <c r="S27" s="418">
        <f t="shared" si="2"/>
        <v>2.0095999999999998</v>
      </c>
    </row>
    <row r="28" spans="1:21" ht="19.899999999999999" customHeight="1">
      <c r="A28" s="704"/>
      <c r="B28" s="696"/>
      <c r="C28" s="708">
        <f>F28</f>
        <v>1.7</v>
      </c>
      <c r="D28" s="696"/>
      <c r="E28" s="702">
        <f>K7</f>
        <v>2.6</v>
      </c>
      <c r="F28" s="708">
        <f>(K11-K8)/2</f>
        <v>1.7</v>
      </c>
      <c r="G28" s="696"/>
      <c r="H28" s="696"/>
      <c r="I28" s="696"/>
      <c r="J28" s="701" t="s">
        <v>897</v>
      </c>
      <c r="K28" s="702">
        <f>(K11-K8-K23)/2</f>
        <v>1.2</v>
      </c>
      <c r="L28" s="704" t="s">
        <v>0</v>
      </c>
      <c r="M28" s="683"/>
      <c r="P28" s="415">
        <v>14</v>
      </c>
      <c r="Q28" s="416">
        <f t="shared" si="3"/>
        <v>1.4E-2</v>
      </c>
      <c r="R28" s="417">
        <f t="shared" si="1"/>
        <v>1.2078010000000001</v>
      </c>
      <c r="S28" s="418">
        <f t="shared" si="2"/>
        <v>1.5386000000000002</v>
      </c>
    </row>
    <row r="29" spans="1:21" ht="21" customHeight="1">
      <c r="A29" s="1662" t="s">
        <v>544</v>
      </c>
      <c r="B29" s="1663"/>
      <c r="C29" s="1663"/>
      <c r="D29" s="1663"/>
      <c r="E29" s="1663"/>
      <c r="F29" s="1663"/>
      <c r="G29" s="1663"/>
      <c r="H29" s="696"/>
      <c r="I29" s="700"/>
      <c r="J29" s="700" t="s">
        <v>543</v>
      </c>
      <c r="K29" s="700"/>
      <c r="L29" s="700"/>
      <c r="N29" s="370"/>
      <c r="O29" s="370"/>
      <c r="P29" s="415">
        <v>12</v>
      </c>
      <c r="Q29" s="416">
        <f t="shared" si="3"/>
        <v>1.2E-2</v>
      </c>
      <c r="R29" s="417">
        <f t="shared" si="1"/>
        <v>0.88736400000000004</v>
      </c>
      <c r="S29" s="418">
        <f t="shared" si="2"/>
        <v>1.1304000000000001</v>
      </c>
    </row>
    <row r="30" spans="1:21" ht="21" customHeight="1">
      <c r="A30" s="703" t="s">
        <v>579</v>
      </c>
      <c r="B30" s="703"/>
      <c r="C30" s="695"/>
      <c r="D30" s="695"/>
      <c r="E30" s="695"/>
      <c r="F30" s="695"/>
      <c r="G30" s="695"/>
      <c r="H30" s="696"/>
      <c r="I30" s="696"/>
      <c r="J30" s="701" t="s">
        <v>114</v>
      </c>
      <c r="K30" s="702">
        <f>K10*K11*K21+(((K10*K11)+(K7+K23+0.2)^2+(K10+K7+K23+0.2)*(K11+K8+K23+0.2))*(K20-K21)/6)+K23*K23*(K18-K20)*4</f>
        <v>25.355999999999998</v>
      </c>
      <c r="L30" s="704" t="s">
        <v>1</v>
      </c>
      <c r="M30" s="678"/>
      <c r="P30" s="415">
        <v>10</v>
      </c>
      <c r="Q30" s="416">
        <f>+P30/1000</f>
        <v>0.01</v>
      </c>
      <c r="R30" s="417">
        <f>3.14*Q30^2/4*7850</f>
        <v>0.61622500000000013</v>
      </c>
      <c r="S30" s="418">
        <f>3.14*Q30^2/4*10000</f>
        <v>0.78500000000000014</v>
      </c>
    </row>
    <row r="31" spans="1:21" ht="21" customHeight="1">
      <c r="A31" s="1572" t="s">
        <v>580</v>
      </c>
      <c r="B31" s="1573"/>
      <c r="C31" s="697" t="s">
        <v>581</v>
      </c>
      <c r="D31" s="697" t="s">
        <v>582</v>
      </c>
      <c r="E31" s="697" t="s">
        <v>583</v>
      </c>
      <c r="F31" s="697" t="s">
        <v>584</v>
      </c>
      <c r="G31" s="697" t="s">
        <v>585</v>
      </c>
      <c r="H31" s="697" t="s">
        <v>586</v>
      </c>
      <c r="I31" s="696"/>
      <c r="J31" s="700" t="s">
        <v>545</v>
      </c>
      <c r="K31" s="700"/>
      <c r="L31" s="700"/>
      <c r="M31" s="678"/>
      <c r="N31" s="370"/>
      <c r="P31" s="415">
        <v>8</v>
      </c>
      <c r="Q31" s="416">
        <f>+P31/1000</f>
        <v>8.0000000000000002E-3</v>
      </c>
      <c r="R31" s="417">
        <f>3.14*Q31^2/4*7850</f>
        <v>0.39438400000000001</v>
      </c>
      <c r="S31" s="418">
        <f>3.14*Q31^2/4*10000</f>
        <v>0.50239999999999996</v>
      </c>
    </row>
    <row r="32" spans="1:21" ht="21" customHeight="1" thickBot="1">
      <c r="A32" s="1661" t="s">
        <v>500</v>
      </c>
      <c r="B32" s="1661"/>
      <c r="C32" s="371">
        <f>P8</f>
        <v>-1.6875</v>
      </c>
      <c r="D32" s="371">
        <f t="shared" ref="D32:H32" si="4">Q8</f>
        <v>-1.4111</v>
      </c>
      <c r="E32" s="371">
        <f t="shared" si="4"/>
        <v>17.914300000000001</v>
      </c>
      <c r="F32" s="371">
        <f t="shared" si="4"/>
        <v>-6.8500000000000005E-2</v>
      </c>
      <c r="G32" s="371">
        <f t="shared" si="4"/>
        <v>4.6400000000000004E-2</v>
      </c>
      <c r="H32" s="371">
        <f t="shared" si="4"/>
        <v>1.4E-3</v>
      </c>
      <c r="I32" s="696"/>
      <c r="J32" s="701" t="s">
        <v>115</v>
      </c>
      <c r="K32" s="706">
        <f>K10*K11</f>
        <v>30</v>
      </c>
      <c r="L32" s="704" t="s">
        <v>2</v>
      </c>
      <c r="M32" s="678"/>
      <c r="P32" s="419">
        <v>6</v>
      </c>
      <c r="Q32" s="420">
        <f>+P32/1000</f>
        <v>6.0000000000000001E-3</v>
      </c>
      <c r="R32" s="421">
        <f>3.14*Q32^2/4*7850</f>
        <v>0.22184100000000001</v>
      </c>
      <c r="S32" s="422">
        <f>3.14*Q32^2/4*10000</f>
        <v>0.28260000000000002</v>
      </c>
    </row>
    <row r="33" spans="1:19" ht="21" customHeight="1">
      <c r="A33" s="1661" t="s">
        <v>587</v>
      </c>
      <c r="B33" s="1661"/>
      <c r="C33" s="371">
        <f t="shared" ref="C33:C37" si="5">P9</f>
        <v>-1.8271000000000002</v>
      </c>
      <c r="D33" s="371">
        <f t="shared" ref="D33:D37" si="6">Q9</f>
        <v>-1.8968</v>
      </c>
      <c r="E33" s="371">
        <f t="shared" ref="E33:E37" si="7">R9</f>
        <v>-20.9922</v>
      </c>
      <c r="F33" s="371">
        <f t="shared" ref="F33:F37" si="8">S9</f>
        <v>-5.9699999999999996E-2</v>
      </c>
      <c r="G33" s="371">
        <f t="shared" ref="G33:G37" si="9">T9</f>
        <v>7.6700000000000004E-2</v>
      </c>
      <c r="H33" s="371">
        <f t="shared" ref="H33:H37" si="10">U9</f>
        <v>1E-3</v>
      </c>
      <c r="I33" s="696"/>
      <c r="J33" s="696"/>
      <c r="K33" s="700"/>
      <c r="L33" s="701" t="s">
        <v>734</v>
      </c>
      <c r="M33" s="678"/>
      <c r="P33"/>
      <c r="Q33"/>
      <c r="R33"/>
      <c r="S33"/>
    </row>
    <row r="34" spans="1:19" ht="21" customHeight="1">
      <c r="A34" s="1564" t="s">
        <v>901</v>
      </c>
      <c r="B34" s="1176" t="s">
        <v>588</v>
      </c>
      <c r="C34" s="371">
        <f t="shared" si="5"/>
        <v>-2.5344000000000002</v>
      </c>
      <c r="D34" s="371">
        <f t="shared" si="6"/>
        <v>-1.7965</v>
      </c>
      <c r="E34" s="371">
        <f t="shared" si="7"/>
        <v>6.3949999999999987</v>
      </c>
      <c r="F34" s="371">
        <f t="shared" si="8"/>
        <v>26.654080000000004</v>
      </c>
      <c r="G34" s="371">
        <f t="shared" si="9"/>
        <v>47.466300000000004</v>
      </c>
      <c r="H34" s="371">
        <f t="shared" si="10"/>
        <v>0.29313599999999995</v>
      </c>
      <c r="I34" s="696"/>
      <c r="J34" s="701" t="s">
        <v>820</v>
      </c>
      <c r="K34" s="706">
        <f>(K11*K10^3)/6/K10</f>
        <v>25</v>
      </c>
      <c r="L34" s="704" t="s">
        <v>1</v>
      </c>
      <c r="M34" s="678"/>
      <c r="P34"/>
      <c r="Q34"/>
      <c r="R34"/>
      <c r="S34"/>
    </row>
    <row r="35" spans="1:19" ht="21" customHeight="1">
      <c r="A35" s="1565"/>
      <c r="B35" s="1176" t="s">
        <v>589</v>
      </c>
      <c r="C35" s="371">
        <f t="shared" si="5"/>
        <v>-2.4743999999999997</v>
      </c>
      <c r="D35" s="371">
        <f t="shared" si="6"/>
        <v>-2.9365000000000001</v>
      </c>
      <c r="E35" s="371">
        <f t="shared" si="7"/>
        <v>6.1550999999999991</v>
      </c>
      <c r="F35" s="371">
        <f t="shared" si="8"/>
        <v>55.32799</v>
      </c>
      <c r="G35" s="371">
        <f t="shared" si="9"/>
        <v>45.799009999999996</v>
      </c>
      <c r="H35" s="371">
        <f t="shared" si="10"/>
        <v>0.40751799999999994</v>
      </c>
      <c r="I35" s="696"/>
      <c r="J35" s="696"/>
      <c r="K35" s="700"/>
      <c r="L35" s="701" t="s">
        <v>735</v>
      </c>
      <c r="M35" s="678"/>
      <c r="P35"/>
      <c r="Q35"/>
      <c r="R35"/>
      <c r="S35"/>
    </row>
    <row r="36" spans="1:19" ht="21" customHeight="1">
      <c r="A36" s="1565"/>
      <c r="B36" s="1176" t="s">
        <v>498</v>
      </c>
      <c r="C36" s="371">
        <f t="shared" si="5"/>
        <v>-2.4743999999999997</v>
      </c>
      <c r="D36" s="371">
        <f t="shared" si="6"/>
        <v>-2.9365000000000001</v>
      </c>
      <c r="E36" s="371">
        <f t="shared" si="7"/>
        <v>6.1550999999999991</v>
      </c>
      <c r="F36" s="371">
        <f t="shared" si="8"/>
        <v>55.32799</v>
      </c>
      <c r="G36" s="371">
        <f t="shared" si="9"/>
        <v>45.799009999999996</v>
      </c>
      <c r="H36" s="371">
        <f t="shared" si="10"/>
        <v>0.40751799999999994</v>
      </c>
      <c r="I36" s="696"/>
      <c r="J36" s="701" t="s">
        <v>821</v>
      </c>
      <c r="K36" s="706">
        <f>+(K10*K11^3)/12/K11*2</f>
        <v>30</v>
      </c>
      <c r="L36" s="704" t="s">
        <v>1</v>
      </c>
      <c r="M36" s="678"/>
      <c r="P36"/>
      <c r="Q36"/>
      <c r="R36"/>
      <c r="S36"/>
    </row>
    <row r="37" spans="1:19" ht="21" customHeight="1">
      <c r="A37" s="1566"/>
      <c r="B37" s="1169" t="s">
        <v>719</v>
      </c>
      <c r="C37" s="371">
        <f t="shared" si="5"/>
        <v>-1.1499999999999999</v>
      </c>
      <c r="D37" s="371">
        <f t="shared" si="6"/>
        <v>0</v>
      </c>
      <c r="E37" s="371">
        <f t="shared" si="7"/>
        <v>5.6476999999999995</v>
      </c>
      <c r="F37" s="371">
        <f t="shared" si="8"/>
        <v>-0.23856999999999928</v>
      </c>
      <c r="G37" s="371">
        <f t="shared" si="9"/>
        <v>27.861709999999999</v>
      </c>
      <c r="H37" s="371">
        <f t="shared" si="10"/>
        <v>7.3858999999999994E-2</v>
      </c>
      <c r="I37" s="696"/>
      <c r="M37" s="678"/>
      <c r="P37"/>
      <c r="Q37"/>
      <c r="R37"/>
      <c r="S37"/>
    </row>
    <row r="38" spans="1:19" ht="3" customHeight="1">
      <c r="A38" s="704"/>
      <c r="B38" s="696"/>
      <c r="C38" s="696"/>
      <c r="D38" s="696"/>
      <c r="E38" s="696"/>
      <c r="F38" s="696"/>
      <c r="G38" s="696"/>
      <c r="H38" s="696"/>
      <c r="I38" s="696"/>
      <c r="M38" s="678"/>
      <c r="P38"/>
      <c r="Q38"/>
      <c r="R38"/>
      <c r="S38"/>
    </row>
    <row r="39" spans="1:19" ht="19.899999999999999" customHeight="1">
      <c r="A39" s="707" t="s">
        <v>202</v>
      </c>
      <c r="B39" s="696"/>
      <c r="C39" s="696"/>
      <c r="D39" s="696"/>
      <c r="E39" s="696"/>
      <c r="F39" s="696"/>
      <c r="G39" s="700"/>
      <c r="H39" s="700"/>
      <c r="I39" s="700"/>
      <c r="M39" s="678"/>
      <c r="P39"/>
      <c r="Q39"/>
      <c r="R39"/>
      <c r="S39"/>
    </row>
    <row r="40" spans="1:19" ht="21" customHeight="1">
      <c r="A40" s="1575" t="s">
        <v>742</v>
      </c>
      <c r="B40" s="701" t="s">
        <v>752</v>
      </c>
      <c r="C40" s="702">
        <f>E34</f>
        <v>6.3949999999999987</v>
      </c>
      <c r="D40" s="704" t="s">
        <v>3</v>
      </c>
      <c r="E40" s="696"/>
      <c r="F40" s="696"/>
      <c r="G40" s="696"/>
      <c r="H40" s="696"/>
      <c r="I40" s="696"/>
      <c r="M40" s="678"/>
      <c r="P40"/>
      <c r="Q40"/>
      <c r="R40"/>
      <c r="S40"/>
    </row>
    <row r="41" spans="1:19" ht="21" customHeight="1">
      <c r="A41" s="1575"/>
      <c r="B41" s="701" t="s">
        <v>753</v>
      </c>
      <c r="C41" s="702">
        <f>ABS(C34)</f>
        <v>2.5344000000000002</v>
      </c>
      <c r="D41" s="704" t="s">
        <v>3</v>
      </c>
      <c r="E41" s="701" t="s">
        <v>745</v>
      </c>
      <c r="F41" s="699">
        <f>ABS(D34)</f>
        <v>1.7965</v>
      </c>
      <c r="G41" s="704" t="s">
        <v>3</v>
      </c>
      <c r="H41" s="696"/>
      <c r="I41" s="696"/>
      <c r="J41" s="704" t="s">
        <v>549</v>
      </c>
      <c r="K41" s="700"/>
      <c r="L41" s="700"/>
      <c r="M41" s="678"/>
      <c r="P41"/>
      <c r="Q41"/>
      <c r="R41"/>
      <c r="S41"/>
    </row>
    <row r="42" spans="1:19" ht="21" customHeight="1">
      <c r="A42" s="1575"/>
      <c r="B42" s="701" t="s">
        <v>754</v>
      </c>
      <c r="C42" s="702">
        <f>ABS(G34)</f>
        <v>47.466300000000004</v>
      </c>
      <c r="D42" s="704" t="s">
        <v>4</v>
      </c>
      <c r="E42" s="701" t="s">
        <v>747</v>
      </c>
      <c r="F42" s="699">
        <f>ABS(F34)</f>
        <v>26.654080000000004</v>
      </c>
      <c r="G42" s="704" t="s">
        <v>4</v>
      </c>
      <c r="H42" s="696"/>
      <c r="I42" s="696"/>
      <c r="J42" s="701" t="s">
        <v>116</v>
      </c>
      <c r="K42" s="702">
        <f>K10*K11*K14-K30</f>
        <v>49.644000000000005</v>
      </c>
      <c r="L42" s="704" t="s">
        <v>1</v>
      </c>
      <c r="M42" s="678"/>
      <c r="P42"/>
      <c r="Q42"/>
      <c r="R42"/>
      <c r="S42"/>
    </row>
    <row r="43" spans="1:19" ht="21" customHeight="1">
      <c r="A43" s="704"/>
      <c r="B43" s="701" t="s">
        <v>755</v>
      </c>
      <c r="C43" s="702">
        <f>ABS(E33)</f>
        <v>20.9922</v>
      </c>
      <c r="D43" s="704" t="s">
        <v>3</v>
      </c>
      <c r="E43" s="701" t="s">
        <v>622</v>
      </c>
      <c r="F43" s="699">
        <f>SQRT(C33^2+D33^2)</f>
        <v>2.6336561373877192</v>
      </c>
      <c r="G43" s="704" t="s">
        <v>3</v>
      </c>
      <c r="H43" s="696"/>
      <c r="I43" s="696"/>
      <c r="J43" s="700" t="s">
        <v>550</v>
      </c>
      <c r="K43" s="700"/>
      <c r="L43" s="696"/>
      <c r="M43" s="680"/>
      <c r="P43"/>
      <c r="Q43"/>
      <c r="R43"/>
      <c r="S43"/>
    </row>
    <row r="44" spans="1:19" ht="21" customHeight="1">
      <c r="A44" s="704"/>
      <c r="B44" s="701" t="s">
        <v>756</v>
      </c>
      <c r="C44" s="702">
        <f>ABS(E32)</f>
        <v>17.914300000000001</v>
      </c>
      <c r="D44" s="704" t="s">
        <v>3</v>
      </c>
      <c r="E44" s="701" t="s">
        <v>623</v>
      </c>
      <c r="F44" s="699">
        <f>SQRT(C32^2+D32^2)</f>
        <v>2.199740771090994</v>
      </c>
      <c r="G44" s="704" t="s">
        <v>3</v>
      </c>
      <c r="H44" s="696"/>
      <c r="I44" s="698"/>
      <c r="J44" s="701" t="s">
        <v>749</v>
      </c>
      <c r="K44" s="706">
        <v>0</v>
      </c>
      <c r="L44" s="704" t="s">
        <v>0</v>
      </c>
      <c r="M44" s="1621" t="s">
        <v>617</v>
      </c>
      <c r="N44" s="1622"/>
      <c r="O44" s="1622"/>
      <c r="P44" s="1623"/>
      <c r="Q44"/>
      <c r="R44"/>
      <c r="S44"/>
    </row>
    <row r="45" spans="1:19" ht="21" customHeight="1">
      <c r="A45" s="1575" t="s">
        <v>748</v>
      </c>
      <c r="B45" s="701" t="s">
        <v>752</v>
      </c>
      <c r="C45" s="702">
        <f>ABS(E35)</f>
        <v>6.1550999999999991</v>
      </c>
      <c r="D45" s="704" t="s">
        <v>3</v>
      </c>
      <c r="E45" s="696"/>
      <c r="F45" s="696"/>
      <c r="G45" s="704"/>
      <c r="H45" s="696"/>
      <c r="I45" s="696"/>
      <c r="J45" s="700" t="s">
        <v>551</v>
      </c>
      <c r="K45" s="700"/>
      <c r="L45" s="700"/>
      <c r="M45" s="679" t="s">
        <v>740</v>
      </c>
      <c r="N45" s="424" t="s">
        <v>142</v>
      </c>
      <c r="O45" s="245" t="s">
        <v>143</v>
      </c>
      <c r="P45" s="245" t="s">
        <v>621</v>
      </c>
      <c r="Q45"/>
      <c r="R45"/>
      <c r="S45"/>
    </row>
    <row r="46" spans="1:19" ht="21" customHeight="1">
      <c r="A46" s="1575"/>
      <c r="B46" s="701" t="s">
        <v>753</v>
      </c>
      <c r="C46" s="702">
        <f>ABS(C35)</f>
        <v>2.4743999999999997</v>
      </c>
      <c r="D46" s="704" t="s">
        <v>3</v>
      </c>
      <c r="E46" s="701" t="s">
        <v>745</v>
      </c>
      <c r="F46" s="702">
        <f>ABS(D35)</f>
        <v>2.9365000000000001</v>
      </c>
      <c r="G46" s="704" t="s">
        <v>3</v>
      </c>
      <c r="H46" s="702"/>
      <c r="I46" s="696"/>
      <c r="J46" s="701" t="s">
        <v>750</v>
      </c>
      <c r="K46" s="702">
        <f>K44*K10*K11</f>
        <v>0</v>
      </c>
      <c r="L46" s="704" t="s">
        <v>1</v>
      </c>
      <c r="M46" s="679" t="s">
        <v>618</v>
      </c>
      <c r="N46" s="424">
        <f>F42+F41*$K$18</f>
        <v>32.941830000000003</v>
      </c>
      <c r="O46" s="424">
        <f>C42+C41*$K$18</f>
        <v>56.336700000000008</v>
      </c>
      <c r="P46" s="424">
        <f>SQRT(N46^2+O46^2)</f>
        <v>65.260921926056952</v>
      </c>
      <c r="Q46"/>
      <c r="R46"/>
      <c r="S46"/>
    </row>
    <row r="47" spans="1:19" ht="21" customHeight="1">
      <c r="A47" s="1575"/>
      <c r="B47" s="701" t="s">
        <v>754</v>
      </c>
      <c r="C47" s="702">
        <f>ABS(G35)</f>
        <v>45.799009999999996</v>
      </c>
      <c r="D47" s="704" t="s">
        <v>4</v>
      </c>
      <c r="E47" s="701" t="s">
        <v>747</v>
      </c>
      <c r="F47" s="702">
        <f>ABS(F35)</f>
        <v>55.32799</v>
      </c>
      <c r="G47" s="704" t="s">
        <v>4</v>
      </c>
      <c r="H47" s="702"/>
      <c r="I47" s="696"/>
      <c r="J47" s="701" t="s">
        <v>824</v>
      </c>
      <c r="K47" s="702">
        <f>K46*1.55*K11/4</f>
        <v>0</v>
      </c>
      <c r="L47" s="704" t="s">
        <v>4</v>
      </c>
      <c r="M47" s="679" t="s">
        <v>619</v>
      </c>
      <c r="N47" s="424">
        <f>F47+F46*$K$18</f>
        <v>65.605739999999997</v>
      </c>
      <c r="O47" s="424">
        <f>C47+C46*$K$18</f>
        <v>54.459409999999991</v>
      </c>
      <c r="P47" s="424">
        <f>SQRT(N47^2+O47^2)</f>
        <v>85.263945829967895</v>
      </c>
      <c r="Q47"/>
      <c r="R47"/>
      <c r="S47"/>
    </row>
    <row r="48" spans="1:19" ht="21" customHeight="1">
      <c r="A48" s="1575" t="s">
        <v>498</v>
      </c>
      <c r="B48" s="701" t="s">
        <v>752</v>
      </c>
      <c r="C48" s="702">
        <f>ABS(E36)</f>
        <v>6.1550999999999991</v>
      </c>
      <c r="D48" s="704" t="s">
        <v>3</v>
      </c>
      <c r="E48" s="696"/>
      <c r="F48" s="696"/>
      <c r="G48" s="704"/>
      <c r="H48" s="702"/>
      <c r="I48" s="1624" t="s">
        <v>717</v>
      </c>
      <c r="J48" s="1624"/>
      <c r="K48" s="702">
        <v>0</v>
      </c>
      <c r="L48" s="704" t="s">
        <v>0</v>
      </c>
      <c r="M48" s="679" t="s">
        <v>620</v>
      </c>
      <c r="N48" s="424">
        <f>F50+F49*$K$18</f>
        <v>65.605739999999997</v>
      </c>
      <c r="O48" s="424">
        <f>C50+C49*$K$18</f>
        <v>54.459409999999991</v>
      </c>
      <c r="P48" s="424">
        <f>SQRT(N48^2+O48^2)</f>
        <v>85.263945829967895</v>
      </c>
      <c r="Q48"/>
      <c r="R48"/>
      <c r="S48"/>
    </row>
    <row r="49" spans="1:25" ht="21" customHeight="1">
      <c r="A49" s="1575"/>
      <c r="B49" s="701" t="s">
        <v>753</v>
      </c>
      <c r="C49" s="702">
        <f>ABS(C36)</f>
        <v>2.4743999999999997</v>
      </c>
      <c r="D49" s="704" t="s">
        <v>3</v>
      </c>
      <c r="E49" s="701" t="s">
        <v>757</v>
      </c>
      <c r="F49" s="702">
        <f>ABS(D36)</f>
        <v>2.9365000000000001</v>
      </c>
      <c r="G49" s="704" t="s">
        <v>3</v>
      </c>
      <c r="H49" s="702"/>
      <c r="I49" s="1624" t="s">
        <v>552</v>
      </c>
      <c r="J49" s="1624"/>
      <c r="K49" s="702">
        <f>K48*K10*K11/2</f>
        <v>0</v>
      </c>
      <c r="L49" s="704" t="s">
        <v>1</v>
      </c>
      <c r="M49" s="678"/>
      <c r="N49"/>
      <c r="O49"/>
      <c r="P49"/>
      <c r="Q49"/>
      <c r="R49"/>
      <c r="S49"/>
    </row>
    <row r="50" spans="1:25" ht="21" customHeight="1">
      <c r="A50" s="1575"/>
      <c r="B50" s="701" t="s">
        <v>754</v>
      </c>
      <c r="C50" s="702">
        <f>ABS(G36)</f>
        <v>45.799009999999996</v>
      </c>
      <c r="D50" s="704" t="s">
        <v>4</v>
      </c>
      <c r="E50" s="701" t="s">
        <v>754</v>
      </c>
      <c r="F50" s="702">
        <f>ABS(F36)</f>
        <v>55.32799</v>
      </c>
      <c r="G50" s="704" t="s">
        <v>4</v>
      </c>
      <c r="H50" s="702"/>
      <c r="I50" s="1624" t="s">
        <v>553</v>
      </c>
      <c r="J50" s="1624"/>
      <c r="K50" s="702">
        <f>K49*(1.5)*K10/4</f>
        <v>0</v>
      </c>
      <c r="L50" s="704" t="s">
        <v>4</v>
      </c>
      <c r="M50" s="678"/>
      <c r="N50"/>
      <c r="O50"/>
      <c r="P50"/>
      <c r="Q50"/>
      <c r="R50"/>
      <c r="S50"/>
    </row>
    <row r="51" spans="1:25" ht="22.15" customHeight="1">
      <c r="A51" s="704" t="s">
        <v>683</v>
      </c>
      <c r="B51" s="696"/>
      <c r="C51" s="702"/>
      <c r="D51" s="696"/>
      <c r="E51" s="696"/>
      <c r="F51" s="702"/>
      <c r="G51" s="696"/>
      <c r="H51" s="696"/>
      <c r="I51" s="704" t="s">
        <v>684</v>
      </c>
      <c r="J51" s="696"/>
      <c r="K51" s="702"/>
      <c r="L51" s="696"/>
      <c r="M51" s="678"/>
      <c r="N51"/>
      <c r="O51" s="696" t="s">
        <v>759</v>
      </c>
      <c r="Q51"/>
      <c r="R51"/>
      <c r="S51"/>
      <c r="V51" s="767" t="s">
        <v>867</v>
      </c>
    </row>
    <row r="52" spans="1:25" ht="22.15" customHeight="1">
      <c r="A52" s="701" t="s">
        <v>672</v>
      </c>
      <c r="B52" s="696"/>
      <c r="C52" s="702"/>
      <c r="D52" s="696"/>
      <c r="E52" s="696"/>
      <c r="F52" s="696"/>
      <c r="G52" s="696"/>
      <c r="H52" s="702"/>
      <c r="I52" s="696"/>
      <c r="J52" s="696"/>
      <c r="K52" s="702"/>
      <c r="L52" s="696"/>
      <c r="M52" s="678"/>
      <c r="N52"/>
      <c r="O52"/>
      <c r="Q52"/>
      <c r="R52"/>
      <c r="S52"/>
      <c r="V52" s="768" t="s">
        <v>868</v>
      </c>
      <c r="Y52" s="258">
        <f>Y50*0.5</f>
        <v>0</v>
      </c>
    </row>
    <row r="53" spans="1:25" ht="22.15" customHeight="1">
      <c r="A53" s="701" t="s">
        <v>673</v>
      </c>
      <c r="B53" s="708" t="s">
        <v>674</v>
      </c>
      <c r="C53" s="702">
        <f>MIN(K10:K11)</f>
        <v>5</v>
      </c>
      <c r="D53" s="704" t="s">
        <v>0</v>
      </c>
      <c r="E53" s="696" t="s">
        <v>676</v>
      </c>
      <c r="F53" s="702">
        <f>K20</f>
        <v>0.5</v>
      </c>
      <c r="G53" s="704" t="s">
        <v>0</v>
      </c>
      <c r="H53" s="708" t="s">
        <v>67</v>
      </c>
      <c r="I53" s="702">
        <f>MAX(K10:K11)</f>
        <v>6</v>
      </c>
      <c r="J53" s="704" t="s">
        <v>0</v>
      </c>
      <c r="K53" s="702"/>
      <c r="L53" s="696"/>
      <c r="M53" s="678"/>
      <c r="N53"/>
      <c r="O53"/>
      <c r="Q53"/>
      <c r="R53"/>
      <c r="S53"/>
    </row>
    <row r="54" spans="1:25" ht="22.15" customHeight="1">
      <c r="A54" s="704"/>
      <c r="B54" s="708" t="s">
        <v>675</v>
      </c>
      <c r="C54" s="702">
        <f>K28</f>
        <v>1.2</v>
      </c>
      <c r="D54" s="704" t="s">
        <v>0</v>
      </c>
      <c r="E54" s="760" t="s">
        <v>861</v>
      </c>
      <c r="F54" s="699">
        <f>K20</f>
        <v>0.5</v>
      </c>
      <c r="G54" s="704" t="s">
        <v>0</v>
      </c>
      <c r="H54" s="708" t="s">
        <v>677</v>
      </c>
      <c r="I54" s="702">
        <f>K26</f>
        <v>0.7</v>
      </c>
      <c r="J54" s="704" t="s">
        <v>0</v>
      </c>
      <c r="K54" s="696"/>
      <c r="L54" s="696"/>
      <c r="M54" s="678"/>
      <c r="N54"/>
      <c r="O54"/>
      <c r="Q54"/>
      <c r="R54"/>
      <c r="S54"/>
    </row>
    <row r="55" spans="1:25" ht="22.15" customHeight="1">
      <c r="A55" s="701" t="s">
        <v>741</v>
      </c>
      <c r="B55" s="702">
        <f>K23</f>
        <v>1</v>
      </c>
      <c r="C55" s="704" t="s">
        <v>0</v>
      </c>
      <c r="D55" s="696" t="s">
        <v>758</v>
      </c>
      <c r="E55" s="709">
        <f>O60</f>
        <v>2750000</v>
      </c>
      <c r="F55" s="704" t="s">
        <v>760</v>
      </c>
      <c r="H55" s="696">
        <f>ROUND(3*'TBA-1'!J54,2)</f>
        <v>1650</v>
      </c>
      <c r="I55" s="704" t="s">
        <v>682</v>
      </c>
      <c r="J55" s="701" t="s">
        <v>678</v>
      </c>
      <c r="K55" s="702">
        <f>K23/2</f>
        <v>0.5</v>
      </c>
      <c r="L55" s="704" t="s">
        <v>0</v>
      </c>
      <c r="M55" s="678"/>
      <c r="N55" s="681" t="s">
        <v>733</v>
      </c>
      <c r="O55"/>
      <c r="Q55"/>
      <c r="R55"/>
      <c r="S55"/>
    </row>
    <row r="56" spans="1:25" ht="22.15" customHeight="1">
      <c r="A56" s="704"/>
      <c r="B56" s="701" t="s">
        <v>679</v>
      </c>
      <c r="C56" s="710">
        <f>C53-2*(C54+B55/2)</f>
        <v>1.6</v>
      </c>
      <c r="D56" s="696" t="s">
        <v>681</v>
      </c>
      <c r="E56" s="696" t="s">
        <v>680</v>
      </c>
      <c r="F56" s="704">
        <f>ROUND(0.9*F53*(E55/H55)^(1/3),2)*N56</f>
        <v>5.34</v>
      </c>
      <c r="G56" s="696"/>
      <c r="H56" s="701" t="s">
        <v>679</v>
      </c>
      <c r="I56" s="710">
        <f>I53-2*(I54+B55/2+K55)</f>
        <v>2.6</v>
      </c>
      <c r="J56" s="696" t="s">
        <v>681</v>
      </c>
      <c r="K56" s="696" t="s">
        <v>680</v>
      </c>
      <c r="L56" s="704">
        <f>ROUND(0.8*F54*(E55/H55)^(1/3),2)*N56</f>
        <v>4.74</v>
      </c>
      <c r="M56" s="678" t="str">
        <f>IF(F56&gt;C56&amp;L56&gt;I56,"OK","ChưaOK")</f>
        <v>OK</v>
      </c>
      <c r="N56">
        <f>IF(H55/3&gt;2100,3.6,1)</f>
        <v>1</v>
      </c>
      <c r="O56"/>
      <c r="Q56"/>
      <c r="R56"/>
      <c r="S56"/>
    </row>
    <row r="57" spans="1:25" ht="19.899999999999999" customHeight="1">
      <c r="A57" s="695" t="s">
        <v>554</v>
      </c>
      <c r="B57" s="696"/>
      <c r="C57" s="696"/>
      <c r="D57" s="696"/>
      <c r="E57" s="696"/>
      <c r="F57" s="696"/>
      <c r="G57" s="696"/>
      <c r="H57" s="696"/>
      <c r="I57" s="700"/>
      <c r="J57" s="700"/>
      <c r="K57" s="700"/>
      <c r="L57" s="700"/>
      <c r="M57" s="678"/>
    </row>
    <row r="58" spans="1:25" ht="21" customHeight="1">
      <c r="A58" s="704"/>
      <c r="B58" s="704" t="s">
        <v>555</v>
      </c>
      <c r="C58" s="696"/>
      <c r="D58" s="701" t="str">
        <f>VLOOKUP(E58,'Bảng tra'!$B$3:$C$13,2,0)&amp;" - Mác"</f>
        <v>B20 - Mác</v>
      </c>
      <c r="E58" s="1193" t="s">
        <v>479</v>
      </c>
      <c r="F58" s="696"/>
      <c r="G58" s="696"/>
      <c r="H58" s="696"/>
      <c r="I58" s="701" t="s">
        <v>489</v>
      </c>
      <c r="J58" s="696" t="s">
        <v>712</v>
      </c>
      <c r="K58" s="696"/>
      <c r="L58" s="696"/>
      <c r="M58" s="681"/>
      <c r="N58" t="s">
        <v>667</v>
      </c>
      <c r="O58"/>
      <c r="P58"/>
      <c r="Q58"/>
    </row>
    <row r="59" spans="1:25" ht="21" customHeight="1">
      <c r="A59" s="704"/>
      <c r="B59" s="696"/>
      <c r="C59" s="701" t="s">
        <v>556</v>
      </c>
      <c r="D59" s="712" t="s">
        <v>761</v>
      </c>
      <c r="E59" s="696">
        <f>VLOOKUP(E58,'Bảng tra'!$B$3:$F$13,3,0)*100</f>
        <v>1150</v>
      </c>
      <c r="F59" s="696" t="s">
        <v>10</v>
      </c>
      <c r="G59" s="696"/>
      <c r="H59" s="696"/>
      <c r="J59" s="701" t="s">
        <v>762</v>
      </c>
      <c r="K59" s="696">
        <f>VLOOKUP(J58,'Bảng tra'!I3:M6,2,0)*100</f>
        <v>35000</v>
      </c>
      <c r="L59" s="696" t="s">
        <v>10</v>
      </c>
      <c r="M59" s="681"/>
      <c r="N59" s="671" t="s">
        <v>668</v>
      </c>
      <c r="O59" s="673">
        <f>K10-2*(K28+N21/2+N21)</f>
        <v>-0.40000000000000036</v>
      </c>
      <c r="P59"/>
      <c r="Q59"/>
    </row>
    <row r="60" spans="1:25" ht="21" customHeight="1">
      <c r="A60" s="704"/>
      <c r="B60" s="696"/>
      <c r="C60" s="701" t="s">
        <v>557</v>
      </c>
      <c r="D60" s="712" t="s">
        <v>763</v>
      </c>
      <c r="E60" s="702">
        <f>VLOOKUP(E58,'Bảng tra'!B3:F13,4,0)*100</f>
        <v>90</v>
      </c>
      <c r="F60" s="696" t="s">
        <v>10</v>
      </c>
      <c r="G60" s="696"/>
      <c r="H60" s="696"/>
      <c r="I60" s="696"/>
      <c r="J60" s="696"/>
      <c r="K60" s="696"/>
      <c r="L60" s="696"/>
      <c r="M60" s="681"/>
      <c r="N60" t="s">
        <v>670</v>
      </c>
      <c r="O60">
        <f>VLOOKUP(M61,'Bảng tra'!B3:F13,5,0)*100</f>
        <v>2750000</v>
      </c>
      <c r="P60"/>
      <c r="Q60"/>
    </row>
    <row r="61" spans="1:25" ht="21" customHeight="1">
      <c r="A61" s="704"/>
      <c r="B61" s="700" t="s">
        <v>213</v>
      </c>
      <c r="C61" s="700"/>
      <c r="D61" s="700"/>
      <c r="E61" s="696"/>
      <c r="F61" s="1575" t="s">
        <v>742</v>
      </c>
      <c r="G61" s="1586"/>
      <c r="H61" s="1575" t="s">
        <v>498</v>
      </c>
      <c r="I61" s="1586"/>
      <c r="J61" s="1575" t="s">
        <v>748</v>
      </c>
      <c r="K61" s="1586"/>
      <c r="L61" s="696"/>
      <c r="M61" s="682" t="str">
        <f>LEFT(E58,4)</f>
        <v>M250</v>
      </c>
      <c r="N61" t="s">
        <v>671</v>
      </c>
      <c r="O61" t="e">
        <f>3*#REF!</f>
        <v>#REF!</v>
      </c>
      <c r="P61"/>
      <c r="Q61" s="673"/>
    </row>
    <row r="62" spans="1:25" ht="21" customHeight="1">
      <c r="A62" s="704"/>
      <c r="B62" s="1586" t="s">
        <v>764</v>
      </c>
      <c r="C62" s="1586"/>
      <c r="D62" s="701" t="s">
        <v>62</v>
      </c>
      <c r="E62" s="696" t="s">
        <v>6</v>
      </c>
      <c r="F62" s="706">
        <f>P46</f>
        <v>65.260921926056952</v>
      </c>
      <c r="G62" s="704" t="s">
        <v>4</v>
      </c>
      <c r="H62" s="706">
        <f>P48</f>
        <v>85.263945829967895</v>
      </c>
      <c r="I62" s="704" t="s">
        <v>4</v>
      </c>
      <c r="J62" s="706">
        <f>P47</f>
        <v>85.263945829967895</v>
      </c>
      <c r="K62" s="704" t="s">
        <v>4</v>
      </c>
      <c r="L62" s="696"/>
      <c r="M62" s="681"/>
      <c r="N62"/>
      <c r="O62"/>
      <c r="P62"/>
      <c r="Q62"/>
    </row>
    <row r="63" spans="1:25" ht="21" customHeight="1">
      <c r="A63" s="704"/>
      <c r="B63" s="696"/>
      <c r="C63" s="696"/>
      <c r="D63" s="701" t="s">
        <v>7</v>
      </c>
      <c r="E63" s="696" t="s">
        <v>6</v>
      </c>
      <c r="F63" s="702">
        <f>C40/K32</f>
        <v>0.21316666666666662</v>
      </c>
      <c r="G63" s="704" t="s">
        <v>10</v>
      </c>
      <c r="H63" s="702">
        <f>C45/K32</f>
        <v>0.20516999999999996</v>
      </c>
      <c r="I63" s="704" t="s">
        <v>10</v>
      </c>
      <c r="J63" s="702">
        <f>C48/K32</f>
        <v>0.20516999999999996</v>
      </c>
      <c r="K63" s="704" t="s">
        <v>10</v>
      </c>
      <c r="L63" s="696"/>
      <c r="M63" s="681"/>
      <c r="N63"/>
      <c r="O63"/>
      <c r="P63"/>
      <c r="Q63"/>
    </row>
    <row r="64" spans="1:25" ht="21" customHeight="1">
      <c r="A64" s="704"/>
      <c r="B64" s="696"/>
      <c r="C64" s="696"/>
      <c r="D64" s="701" t="s">
        <v>8</v>
      </c>
      <c r="E64" s="696" t="s">
        <v>6</v>
      </c>
      <c r="F64" s="702">
        <f>F63+F62/K34</f>
        <v>2.8236035437089444</v>
      </c>
      <c r="G64" s="704" t="s">
        <v>10</v>
      </c>
      <c r="H64" s="702">
        <f>H63+H62/K34</f>
        <v>3.6157278331987155</v>
      </c>
      <c r="I64" s="704" t="s">
        <v>10</v>
      </c>
      <c r="J64" s="702">
        <f>J63+J62/K34</f>
        <v>3.6157278331987155</v>
      </c>
      <c r="K64" s="704" t="s">
        <v>10</v>
      </c>
      <c r="L64" s="696"/>
      <c r="M64" s="681"/>
      <c r="N64"/>
      <c r="O64"/>
      <c r="P64"/>
      <c r="Q64"/>
    </row>
    <row r="65" spans="1:17" ht="21" customHeight="1">
      <c r="A65" s="704"/>
      <c r="B65" s="696"/>
      <c r="C65" s="696"/>
      <c r="D65" s="701" t="s">
        <v>9</v>
      </c>
      <c r="E65" s="696" t="s">
        <v>6</v>
      </c>
      <c r="F65" s="702">
        <f>F63-F62/K34</f>
        <v>-2.3972702103756114</v>
      </c>
      <c r="G65" s="704" t="s">
        <v>10</v>
      </c>
      <c r="H65" s="702">
        <f>H63-H62/K34</f>
        <v>-3.2053878331987158</v>
      </c>
      <c r="I65" s="704" t="s">
        <v>10</v>
      </c>
      <c r="J65" s="702">
        <f>J63-J62/K34</f>
        <v>-3.2053878331987158</v>
      </c>
      <c r="K65" s="704" t="s">
        <v>10</v>
      </c>
      <c r="L65" s="696"/>
      <c r="M65" s="681"/>
      <c r="N65"/>
      <c r="O65"/>
      <c r="P65"/>
      <c r="Q65"/>
    </row>
    <row r="66" spans="1:17" ht="21" customHeight="1">
      <c r="A66" s="704"/>
      <c r="B66" s="704" t="s">
        <v>214</v>
      </c>
      <c r="C66" s="696"/>
      <c r="D66" s="696"/>
      <c r="E66" s="696"/>
      <c r="F66" s="696"/>
      <c r="G66" s="696"/>
      <c r="H66" s="696"/>
      <c r="I66" s="704"/>
      <c r="J66" s="696"/>
      <c r="K66" s="696"/>
      <c r="L66" s="696"/>
      <c r="M66" s="681"/>
      <c r="N66"/>
      <c r="O66"/>
      <c r="P66"/>
      <c r="Q66"/>
    </row>
    <row r="67" spans="1:17" ht="21" customHeight="1">
      <c r="A67" s="704"/>
      <c r="B67" s="696"/>
      <c r="D67" s="701" t="s">
        <v>11</v>
      </c>
      <c r="E67" s="696" t="s">
        <v>6</v>
      </c>
      <c r="F67" s="702">
        <f>(F64*K11)/(F64-F65)</f>
        <v>3.2449781512145108</v>
      </c>
      <c r="G67" s="710" t="s">
        <v>267</v>
      </c>
      <c r="H67" s="702">
        <f>(H64*K11)/(H64-H65)</f>
        <v>3.1804719433309598</v>
      </c>
      <c r="I67" s="704" t="s">
        <v>267</v>
      </c>
      <c r="J67" s="702">
        <f>(J64*K11)/(J64-J65)</f>
        <v>3.1804719433309598</v>
      </c>
      <c r="K67" s="704" t="s">
        <v>267</v>
      </c>
      <c r="L67" s="696"/>
      <c r="M67" s="681"/>
      <c r="N67"/>
      <c r="O67"/>
      <c r="P67"/>
      <c r="Q67"/>
    </row>
    <row r="68" spans="1:17" ht="21" customHeight="1">
      <c r="A68" s="704"/>
      <c r="B68" s="704" t="s">
        <v>215</v>
      </c>
      <c r="C68" s="696"/>
      <c r="D68" s="696"/>
      <c r="E68" s="696"/>
      <c r="F68" s="696"/>
      <c r="G68" s="704"/>
      <c r="H68" s="696"/>
      <c r="I68" s="704"/>
      <c r="J68" s="696"/>
      <c r="K68" s="696"/>
      <c r="L68" s="696"/>
      <c r="M68" s="681"/>
      <c r="N68"/>
      <c r="O68"/>
      <c r="P68"/>
      <c r="Q68"/>
    </row>
    <row r="69" spans="1:17" ht="21" customHeight="1">
      <c r="A69" s="704"/>
      <c r="B69" s="696"/>
      <c r="C69" s="696"/>
      <c r="D69" s="696" t="s">
        <v>15</v>
      </c>
      <c r="E69" s="696" t="s">
        <v>6</v>
      </c>
      <c r="F69" s="702">
        <f>(F64*(F67-$F$25)/F67)</f>
        <v>2.8236035437089444</v>
      </c>
      <c r="G69" s="704" t="s">
        <v>10</v>
      </c>
      <c r="H69" s="702">
        <f>(H64*(H67-$F$25)/H67)</f>
        <v>3.6157278331987159</v>
      </c>
      <c r="I69" s="704" t="s">
        <v>10</v>
      </c>
      <c r="J69" s="702">
        <f>(J64*(J67-$F$25)/J67)</f>
        <v>3.6157278331987159</v>
      </c>
      <c r="K69" s="704" t="s">
        <v>10</v>
      </c>
      <c r="L69" s="696"/>
      <c r="M69" s="681"/>
      <c r="N69"/>
      <c r="O69"/>
      <c r="P69"/>
      <c r="Q69"/>
    </row>
    <row r="70" spans="1:17" ht="21" customHeight="1">
      <c r="A70" s="704"/>
      <c r="B70" s="696"/>
      <c r="C70" s="696"/>
      <c r="D70" s="696" t="s">
        <v>16</v>
      </c>
      <c r="E70" s="696" t="s">
        <v>6</v>
      </c>
      <c r="F70" s="702">
        <f>(F64*(F67-$K$28-$K$23)/F67)</f>
        <v>0.90928316721127367</v>
      </c>
      <c r="G70" s="704" t="s">
        <v>10</v>
      </c>
      <c r="H70" s="702">
        <f>(H64*(H67-$K$28-$K$23)/H67)</f>
        <v>1.1146520888529907</v>
      </c>
      <c r="I70" s="704" t="s">
        <v>10</v>
      </c>
      <c r="J70" s="702">
        <f>(J64*(J67-$K$28-$K$23)/J67)</f>
        <v>1.1146520888529907</v>
      </c>
      <c r="K70" s="704" t="s">
        <v>10</v>
      </c>
      <c r="L70" s="696"/>
      <c r="M70" s="681"/>
      <c r="N70"/>
      <c r="O70"/>
      <c r="P70"/>
      <c r="Q70"/>
    </row>
    <row r="71" spans="1:17" ht="21" customHeight="1">
      <c r="A71" s="704"/>
      <c r="B71" s="696"/>
      <c r="C71" s="696"/>
      <c r="D71" s="696" t="s">
        <v>14</v>
      </c>
      <c r="E71" s="696" t="s">
        <v>6</v>
      </c>
      <c r="F71" s="702">
        <f>-(F65*($K$11-F67-$K$28)/($K$11-F67))</f>
        <v>1.3530954595587004</v>
      </c>
      <c r="G71" s="704" t="s">
        <v>10</v>
      </c>
      <c r="H71" s="702">
        <f>-(H65*($K$11-H67-$K$28)/($K$11-H67))</f>
        <v>1.8411646999192295</v>
      </c>
      <c r="I71" s="704" t="s">
        <v>10</v>
      </c>
      <c r="J71" s="702">
        <f>-(J65*($K$11-J67-$K$28)/($K$11-J67))</f>
        <v>1.8411646999192295</v>
      </c>
      <c r="K71" s="704" t="s">
        <v>10</v>
      </c>
      <c r="L71" s="696"/>
      <c r="M71" s="681"/>
      <c r="N71"/>
      <c r="O71"/>
      <c r="P71"/>
      <c r="Q71"/>
    </row>
    <row r="72" spans="1:17" ht="21" customHeight="1">
      <c r="A72" s="704"/>
      <c r="B72" s="696"/>
      <c r="C72" s="696"/>
      <c r="D72" s="696" t="s">
        <v>13</v>
      </c>
      <c r="E72" s="696" t="s">
        <v>6</v>
      </c>
      <c r="F72" s="702">
        <f>F65*(F67-$K$11+K28+$K$23)/($K$11-F67)</f>
        <v>0.48294983387794121</v>
      </c>
      <c r="G72" s="704" t="s">
        <v>10</v>
      </c>
      <c r="H72" s="702">
        <f>H65*(H67-$K$11+K28+$K$23)/($K$11-H67)</f>
        <v>0.70431208885299101</v>
      </c>
      <c r="I72" s="704" t="s">
        <v>10</v>
      </c>
      <c r="J72" s="702">
        <f>J65*(J67-$K$11+K28+$K$23)/($K$11-J67)</f>
        <v>0.70431208885299101</v>
      </c>
      <c r="K72" s="704" t="s">
        <v>10</v>
      </c>
      <c r="L72" s="696"/>
      <c r="M72" s="681"/>
      <c r="N72"/>
      <c r="O72"/>
      <c r="P72"/>
      <c r="Q72"/>
    </row>
    <row r="73" spans="1:17" ht="21" customHeight="1">
      <c r="A73" s="704"/>
      <c r="B73" s="696"/>
      <c r="C73" s="696"/>
      <c r="D73" s="696" t="s">
        <v>12</v>
      </c>
      <c r="E73" s="696" t="s">
        <v>6</v>
      </c>
      <c r="F73" s="702">
        <f>F64*(F67-$K$11/2)/F67</f>
        <v>0.2131666666666662</v>
      </c>
      <c r="G73" s="704" t="s">
        <v>10</v>
      </c>
      <c r="H73" s="702">
        <f>H64*(H67-$K$11/2)/H67</f>
        <v>0.20516999999999994</v>
      </c>
      <c r="I73" s="704" t="s">
        <v>10</v>
      </c>
      <c r="J73" s="702">
        <f>J64*(J67-$K$11/2)/J67</f>
        <v>0.20516999999999994</v>
      </c>
      <c r="K73" s="704" t="s">
        <v>10</v>
      </c>
      <c r="L73" s="696"/>
      <c r="M73" s="681"/>
      <c r="N73"/>
      <c r="O73"/>
      <c r="P73"/>
      <c r="Q73"/>
    </row>
    <row r="74" spans="1:17" ht="19.899999999999999" hidden="1" customHeight="1">
      <c r="A74" s="704"/>
      <c r="B74" s="696"/>
      <c r="C74" s="696"/>
      <c r="D74" s="696" t="s">
        <v>22</v>
      </c>
      <c r="E74" s="696" t="s">
        <v>6</v>
      </c>
      <c r="F74" s="702">
        <f>F64*(F67-$K$28*2-$N$21)/F67</f>
        <v>-0.13489158360563747</v>
      </c>
      <c r="G74" s="704" t="s">
        <v>10</v>
      </c>
      <c r="H74" s="702">
        <f>H64*(H67-$K$28*2-$N$21)/H67</f>
        <v>-0.24957104442649536</v>
      </c>
      <c r="I74" s="704" t="s">
        <v>10</v>
      </c>
      <c r="J74" s="702">
        <f>J64*(J67-$K$28*2-$N$21)/J67</f>
        <v>-0.24957104442649536</v>
      </c>
      <c r="K74" s="704" t="s">
        <v>10</v>
      </c>
      <c r="L74" s="696"/>
      <c r="M74" s="681"/>
      <c r="N74"/>
      <c r="O74"/>
      <c r="P74"/>
      <c r="Q74"/>
    </row>
    <row r="75" spans="1:17" ht="19.899999999999999" hidden="1" customHeight="1">
      <c r="A75" s="704"/>
      <c r="B75" s="696"/>
      <c r="C75" s="696"/>
      <c r="D75" s="696" t="s">
        <v>23</v>
      </c>
      <c r="E75" s="696" t="s">
        <v>6</v>
      </c>
      <c r="F75" s="702">
        <f>F64*(F67-$K$11/2+$K$21/2)/F67</f>
        <v>0.34368851051878019</v>
      </c>
      <c r="G75" s="704" t="s">
        <v>10</v>
      </c>
      <c r="H75" s="702">
        <f>H64*(H67-$K$11/2+$K$21/2)/H67</f>
        <v>0.37569789165993572</v>
      </c>
      <c r="I75" s="704" t="s">
        <v>10</v>
      </c>
      <c r="J75" s="702">
        <f>J64*(J67-$K$11/2+$K$21/2)/J67</f>
        <v>0.37569789165993572</v>
      </c>
      <c r="K75" s="704" t="s">
        <v>10</v>
      </c>
      <c r="L75" s="696"/>
      <c r="M75" s="678"/>
    </row>
    <row r="76" spans="1:17" ht="19.899999999999999" hidden="1" customHeight="1">
      <c r="A76" s="704"/>
      <c r="B76" s="696"/>
      <c r="C76" s="696"/>
      <c r="D76" s="696" t="s">
        <v>144</v>
      </c>
      <c r="E76" s="696" t="s">
        <v>6</v>
      </c>
      <c r="F76" s="702">
        <f>(F64*(F67-($K$11-$K$10)/2)/F67)</f>
        <v>2.3885307308685646</v>
      </c>
      <c r="G76" s="704" t="s">
        <v>10</v>
      </c>
      <c r="H76" s="702">
        <f>(H64*(H67-($K$11-$K$10)/2)/H67)</f>
        <v>3.0473015276655961</v>
      </c>
      <c r="I76" s="704" t="s">
        <v>10</v>
      </c>
      <c r="J76" s="702">
        <f>(J64*(J67-($K$11-$K$10)/2)/J67)</f>
        <v>3.0473015276655961</v>
      </c>
      <c r="K76" s="704" t="s">
        <v>10</v>
      </c>
      <c r="L76" s="696"/>
      <c r="M76" s="678"/>
    </row>
    <row r="77" spans="1:17" ht="19.899999999999999" customHeight="1">
      <c r="A77" s="704"/>
      <c r="B77" s="696"/>
      <c r="C77" s="696"/>
      <c r="D77" s="696"/>
      <c r="E77" s="696"/>
      <c r="F77" s="702"/>
      <c r="G77" s="702"/>
      <c r="H77" s="702"/>
      <c r="I77" s="696"/>
      <c r="J77" s="696"/>
      <c r="K77" s="696"/>
      <c r="L77" s="696"/>
      <c r="M77" s="678"/>
    </row>
    <row r="78" spans="1:17" ht="19.899999999999999" customHeight="1">
      <c r="A78" s="701" t="s">
        <v>9</v>
      </c>
      <c r="B78" s="696"/>
      <c r="C78" s="696"/>
      <c r="D78" s="696"/>
      <c r="E78" s="696" t="s">
        <v>12</v>
      </c>
      <c r="F78" s="702" t="s">
        <v>16</v>
      </c>
      <c r="G78" s="702"/>
      <c r="H78" s="702" t="s">
        <v>15</v>
      </c>
      <c r="I78" s="696"/>
      <c r="J78" s="696"/>
      <c r="K78" s="696"/>
      <c r="L78" s="696"/>
      <c r="M78" s="678"/>
    </row>
    <row r="79" spans="1:17" ht="19.899999999999999" customHeight="1">
      <c r="A79" s="704"/>
      <c r="B79" s="696"/>
      <c r="C79" s="696"/>
      <c r="D79" s="696"/>
      <c r="E79" s="696"/>
      <c r="F79" s="702"/>
      <c r="G79" s="702"/>
      <c r="H79" s="702"/>
      <c r="I79" s="696"/>
      <c r="J79" s="696"/>
      <c r="K79" s="696"/>
      <c r="L79" s="696"/>
      <c r="M79" s="678"/>
    </row>
    <row r="80" spans="1:17" ht="19.899999999999999" customHeight="1">
      <c r="A80" s="704"/>
      <c r="B80" s="696" t="s">
        <v>14</v>
      </c>
      <c r="C80" s="696" t="s">
        <v>13</v>
      </c>
      <c r="D80" s="696" t="s">
        <v>40</v>
      </c>
      <c r="E80" s="696" t="s">
        <v>12</v>
      </c>
      <c r="F80" s="696"/>
      <c r="G80" s="696"/>
      <c r="H80" s="696"/>
      <c r="I80" s="696"/>
      <c r="J80" s="696" t="s">
        <v>8</v>
      </c>
      <c r="K80" s="696"/>
      <c r="L80" s="696"/>
      <c r="M80" s="678"/>
    </row>
    <row r="81" spans="1:14" ht="19.899999999999999" customHeight="1">
      <c r="A81" s="704"/>
      <c r="B81" s="696"/>
      <c r="C81" s="696"/>
      <c r="D81" s="696"/>
      <c r="E81" s="696"/>
      <c r="F81" s="696"/>
      <c r="G81" s="696" t="s">
        <v>34</v>
      </c>
      <c r="H81" s="696"/>
      <c r="I81" s="696"/>
      <c r="J81" s="696"/>
      <c r="K81" s="696"/>
      <c r="L81" s="696"/>
      <c r="M81" s="678"/>
    </row>
    <row r="82" spans="1:14" ht="19.899999999999999" customHeight="1">
      <c r="A82" s="704"/>
      <c r="B82" s="696"/>
      <c r="C82" s="696"/>
      <c r="D82" s="696"/>
      <c r="E82" s="696"/>
      <c r="F82" s="696"/>
      <c r="G82" s="696"/>
      <c r="H82" s="696"/>
      <c r="I82" s="696"/>
      <c r="J82" s="696"/>
      <c r="K82" s="696"/>
      <c r="L82" s="696"/>
      <c r="M82" s="678"/>
    </row>
    <row r="83" spans="1:14" ht="19.899999999999999" customHeight="1">
      <c r="E83" s="696" t="s">
        <v>39</v>
      </c>
      <c r="M83" s="678"/>
    </row>
    <row r="84" spans="1:14" ht="21" hidden="1" customHeight="1">
      <c r="A84" s="713" t="s">
        <v>558</v>
      </c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78"/>
    </row>
    <row r="85" spans="1:14" ht="21" hidden="1" customHeight="1">
      <c r="A85" s="696"/>
      <c r="B85" s="714" t="s">
        <v>559</v>
      </c>
      <c r="C85" s="714"/>
      <c r="D85" s="714"/>
      <c r="E85" s="714"/>
      <c r="F85" s="714"/>
      <c r="G85" s="714"/>
      <c r="H85" s="714"/>
      <c r="I85" s="714"/>
      <c r="J85" s="714"/>
      <c r="K85" s="714"/>
      <c r="L85" s="714"/>
      <c r="M85" s="678"/>
    </row>
    <row r="86" spans="1:14" ht="21" hidden="1" customHeight="1">
      <c r="A86" s="704"/>
      <c r="B86" s="704" t="s">
        <v>560</v>
      </c>
      <c r="C86" s="696"/>
      <c r="D86" s="696"/>
      <c r="E86" s="696"/>
      <c r="F86" s="696"/>
      <c r="G86" s="696"/>
      <c r="H86" s="696"/>
      <c r="I86" s="696"/>
      <c r="J86" s="696"/>
      <c r="K86" s="696"/>
      <c r="L86" s="696"/>
      <c r="M86" s="678"/>
    </row>
    <row r="87" spans="1:14" ht="21" hidden="1" customHeight="1">
      <c r="A87" s="704"/>
      <c r="B87" s="704" t="s">
        <v>561</v>
      </c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78"/>
    </row>
    <row r="88" spans="1:14" ht="21" hidden="1" customHeight="1">
      <c r="A88" s="704"/>
      <c r="B88" s="704" t="s">
        <v>562</v>
      </c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678"/>
    </row>
    <row r="89" spans="1:14" ht="21" customHeight="1">
      <c r="A89" s="1178" t="s">
        <v>899</v>
      </c>
      <c r="B89" s="715"/>
      <c r="C89" s="696"/>
      <c r="D89" s="696"/>
      <c r="E89" s="701" t="s">
        <v>775</v>
      </c>
      <c r="F89" s="696">
        <f>K28+K23/2</f>
        <v>1.7</v>
      </c>
      <c r="G89" s="704" t="s">
        <v>0</v>
      </c>
      <c r="H89" s="701" t="s">
        <v>776</v>
      </c>
      <c r="I89" s="696">
        <f>K26+K23/2</f>
        <v>1.2</v>
      </c>
      <c r="J89" s="704" t="s">
        <v>0</v>
      </c>
      <c r="K89" s="696"/>
      <c r="L89" s="696"/>
      <c r="M89" s="678"/>
    </row>
    <row r="90" spans="1:14" ht="21" customHeight="1">
      <c r="A90" s="704"/>
      <c r="B90" s="704" t="s">
        <v>219</v>
      </c>
      <c r="C90" s="696"/>
      <c r="D90" s="696"/>
      <c r="E90" s="696"/>
      <c r="F90" s="696"/>
      <c r="G90" s="704"/>
      <c r="H90" s="696"/>
      <c r="I90" s="696"/>
      <c r="J90" s="696"/>
      <c r="K90" s="696"/>
      <c r="L90" s="696"/>
      <c r="M90" s="678"/>
    </row>
    <row r="91" spans="1:14" ht="21" customHeight="1">
      <c r="A91" s="704"/>
      <c r="B91" s="704" t="s">
        <v>220</v>
      </c>
      <c r="C91" s="696"/>
      <c r="D91" s="696"/>
      <c r="E91" s="701" t="s">
        <v>765</v>
      </c>
      <c r="F91" s="702">
        <f>MAX(F64,H64,J64)/(1+F89^4/(I89^4))</f>
        <v>0.71914338940511013</v>
      </c>
      <c r="G91" s="704" t="s">
        <v>221</v>
      </c>
      <c r="H91" s="696"/>
      <c r="I91" s="696"/>
      <c r="J91" s="696"/>
      <c r="K91" s="696"/>
      <c r="L91" s="696"/>
      <c r="M91" s="683"/>
      <c r="N91" s="374">
        <f>+F64/(1+I89^4/F89^4)</f>
        <v>2.2620082255782799</v>
      </c>
    </row>
    <row r="92" spans="1:14" ht="21" customHeight="1">
      <c r="A92" s="704"/>
      <c r="B92" s="701" t="s">
        <v>224</v>
      </c>
      <c r="C92" s="704" t="s">
        <v>766</v>
      </c>
      <c r="D92" s="696"/>
      <c r="E92" s="701" t="s">
        <v>767</v>
      </c>
      <c r="F92" s="702">
        <f>+MAX(F64,H64,J64)-F91</f>
        <v>2.8965844437936052</v>
      </c>
      <c r="G92" s="704" t="s">
        <v>221</v>
      </c>
      <c r="H92" s="696"/>
      <c r="I92" s="696"/>
      <c r="J92" s="696"/>
      <c r="K92" s="696"/>
      <c r="L92" s="696"/>
      <c r="M92" s="683"/>
      <c r="N92" s="374">
        <f>+F64-N91</f>
        <v>0.56159531813066454</v>
      </c>
    </row>
    <row r="93" spans="1:14" ht="21" customHeight="1">
      <c r="A93" s="704"/>
      <c r="B93" s="701" t="s">
        <v>768</v>
      </c>
      <c r="C93" s="699">
        <f>F91*F89^2/2</f>
        <v>1.039162197690384</v>
      </c>
      <c r="D93" s="696" t="s">
        <v>4</v>
      </c>
      <c r="E93" s="701" t="s">
        <v>769</v>
      </c>
      <c r="F93" s="699">
        <f>K20</f>
        <v>0.5</v>
      </c>
      <c r="G93" s="704" t="s">
        <v>0</v>
      </c>
      <c r="H93" s="696"/>
      <c r="I93" s="696"/>
      <c r="J93" s="696"/>
      <c r="K93" s="696"/>
      <c r="L93" s="696"/>
      <c r="M93" s="678"/>
    </row>
    <row r="94" spans="1:14" ht="21" customHeight="1">
      <c r="A94" s="704"/>
      <c r="B94" s="701" t="s">
        <v>770</v>
      </c>
      <c r="C94" s="699">
        <f>F92*I89^2/2</f>
        <v>2.0855407995313957</v>
      </c>
      <c r="D94" s="696" t="s">
        <v>4</v>
      </c>
      <c r="E94" s="701" t="s">
        <v>119</v>
      </c>
      <c r="F94" s="711">
        <v>0.05</v>
      </c>
      <c r="G94" s="704" t="s">
        <v>0</v>
      </c>
      <c r="H94" s="696"/>
      <c r="I94" s="700"/>
      <c r="J94" s="696"/>
      <c r="K94" s="696"/>
      <c r="L94" s="696"/>
      <c r="M94" s="684"/>
    </row>
    <row r="95" spans="1:14" ht="21" customHeight="1">
      <c r="A95" s="704"/>
      <c r="B95" s="696"/>
      <c r="C95" s="696"/>
      <c r="D95" s="696"/>
      <c r="E95" s="716" t="s">
        <v>771</v>
      </c>
      <c r="F95" s="696">
        <f>+F93-F94</f>
        <v>0.45</v>
      </c>
      <c r="G95" s="704" t="s">
        <v>0</v>
      </c>
      <c r="H95" s="696"/>
      <c r="I95" s="696"/>
      <c r="J95" s="696"/>
      <c r="K95" s="696"/>
      <c r="L95" s="696"/>
      <c r="M95" s="684"/>
    </row>
    <row r="96" spans="1:14" ht="21" customHeight="1">
      <c r="A96" s="696"/>
      <c r="B96" s="704" t="s">
        <v>564</v>
      </c>
      <c r="C96" s="696"/>
      <c r="D96" s="699">
        <f>MAX(C93:C94)</f>
        <v>2.0855407995313957</v>
      </c>
      <c r="E96" s="704" t="s">
        <v>666</v>
      </c>
      <c r="F96" s="701" t="s">
        <v>58</v>
      </c>
      <c r="G96" s="717">
        <f>D96/($E$59*$F$95^2)</f>
        <v>8.9556234011010007E-3</v>
      </c>
      <c r="H96" s="696" t="s">
        <v>772</v>
      </c>
      <c r="I96" s="718" t="s">
        <v>488</v>
      </c>
      <c r="J96" s="719">
        <f>0.5*(1+SQRT(1-2*G96))</f>
        <v>0.99550195589871238</v>
      </c>
      <c r="K96" s="696"/>
      <c r="L96" s="696"/>
      <c r="M96" s="684"/>
    </row>
    <row r="97" spans="1:15" ht="21" customHeight="1">
      <c r="A97" s="704"/>
      <c r="B97" s="704" t="s">
        <v>225</v>
      </c>
      <c r="C97" s="718"/>
      <c r="D97" s="701" t="s">
        <v>773</v>
      </c>
      <c r="E97" s="720">
        <f>+D96/($K$59*J96*$F$95)*10^4</f>
        <v>1.3301358985236276</v>
      </c>
      <c r="F97" s="721" t="s">
        <v>61</v>
      </c>
      <c r="G97" s="704"/>
      <c r="H97" s="696"/>
      <c r="I97" s="696"/>
      <c r="J97" s="696"/>
      <c r="K97" s="696"/>
      <c r="L97" s="696"/>
      <c r="M97" s="684"/>
    </row>
    <row r="98" spans="1:15" ht="21" customHeight="1">
      <c r="A98" s="1626" t="s">
        <v>716</v>
      </c>
      <c r="B98" s="1626"/>
      <c r="C98" s="722">
        <v>12</v>
      </c>
      <c r="D98" s="718" t="s">
        <v>715</v>
      </c>
      <c r="E98" s="711">
        <f>E127</f>
        <v>20</v>
      </c>
      <c r="F98" s="718" t="s">
        <v>774</v>
      </c>
      <c r="G98" s="699">
        <f>INT(100/E98)*3.14*((C98/1000)^2)/4*10^4</f>
        <v>5.652000000000001</v>
      </c>
      <c r="H98" s="704" t="s">
        <v>563</v>
      </c>
      <c r="I98" s="696"/>
      <c r="J98" s="696"/>
      <c r="K98" s="696"/>
      <c r="L98" s="696"/>
      <c r="M98" s="690" t="str">
        <f>IF(G98&lt;E97,"NO","OK")</f>
        <v>OK</v>
      </c>
    </row>
    <row r="99" spans="1:15" ht="21" hidden="1" customHeight="1">
      <c r="A99" s="695" t="s">
        <v>227</v>
      </c>
      <c r="B99" s="715"/>
      <c r="C99" s="723"/>
      <c r="D99" s="696"/>
      <c r="E99" s="696"/>
      <c r="F99" s="696"/>
      <c r="G99" s="699"/>
      <c r="H99" s="696"/>
      <c r="I99" s="696"/>
      <c r="J99" s="696"/>
      <c r="K99" s="696"/>
      <c r="L99" s="696"/>
      <c r="M99" s="684"/>
    </row>
    <row r="100" spans="1:15" ht="21" hidden="1" customHeight="1">
      <c r="A100" s="724"/>
      <c r="B100" s="701" t="s">
        <v>775</v>
      </c>
      <c r="C100" s="699">
        <f>K7</f>
        <v>2.6</v>
      </c>
      <c r="D100" s="704" t="s">
        <v>0</v>
      </c>
      <c r="E100" s="701" t="s">
        <v>776</v>
      </c>
      <c r="F100" s="699">
        <f>K28+K23/2</f>
        <v>1.7</v>
      </c>
      <c r="G100" s="704" t="s">
        <v>0</v>
      </c>
      <c r="H100" s="1626" t="s">
        <v>777</v>
      </c>
      <c r="I100" s="1626"/>
      <c r="J100" s="719">
        <f>+C100/F100</f>
        <v>1.5294117647058825</v>
      </c>
      <c r="K100" s="1575" t="str">
        <f>IF(J100&lt;2,"&lt; 2 Tính theo bản ngàm 3 cạnh/","&gt;= 2 Tính theo bản console")</f>
        <v>&lt; 2 Tính theo bản ngàm 3 cạnh/</v>
      </c>
      <c r="L100" s="1575"/>
      <c r="M100" s="684"/>
    </row>
    <row r="101" spans="1:15" ht="21" hidden="1" customHeight="1">
      <c r="A101" s="725" t="s">
        <v>475</v>
      </c>
      <c r="B101" s="696"/>
      <c r="C101" s="723"/>
      <c r="D101" s="696"/>
      <c r="E101" s="726"/>
      <c r="F101" s="696"/>
      <c r="G101" s="726"/>
      <c r="H101" s="726"/>
      <c r="I101" s="726"/>
      <c r="J101" s="696"/>
      <c r="K101" s="1575"/>
      <c r="L101" s="1575"/>
      <c r="M101" s="685"/>
    </row>
    <row r="102" spans="1:15" ht="21" hidden="1" customHeight="1">
      <c r="A102" s="704"/>
      <c r="B102" s="704" t="s">
        <v>778</v>
      </c>
      <c r="C102" s="701" t="s">
        <v>779</v>
      </c>
      <c r="D102" s="727">
        <f>+IF(J100&lt;=1.5,IF(J100&lt;=1.4,IF(J100&lt;=1.3,IF(J100&lt;=1.2,IF(J100&lt;=1.1,Tra!O$5+(J100-Tra!$L$5)*Tra!S$5,Tra!O$6+(J100-Tra!$L$6)*Tra!S$6),Tra!O$7+(J100-Tra!$L$7)*Tra!S$7),Tra!O$8+(J100-Tra!$L$8)*Tra!S$8),Tra!O$9+(J100-Tra!$L$9)*Tra!S$9),Tra!O$10)</f>
        <v>8.2100000000000006E-2</v>
      </c>
      <c r="E102" s="696" t="s">
        <v>780</v>
      </c>
      <c r="F102" s="727">
        <f>+IF(J100&lt;=1.5,IF(J100&lt;=1.4,IF(J100&lt;=1.3,IF(J100&lt;=1.2,IF(J100&lt;=1.1,Tra!M$5+(J100-Tra!$L$5)*Tra!Q$5,Tra!M$6+(J100-Tra!$L$6)*Tra!Q$6),Tra!M$7+(J100-Tra!$L$7)*Tra!Q$7),Tra!M$8+(J100-Tra!$L$8)*Tra!Q$8),Tra!M$9+(J100-Tra!$L$9)*Tra!Q$9),Tra!M$10)</f>
        <v>9.4999999999999998E-3</v>
      </c>
      <c r="G102" s="699"/>
      <c r="H102" s="696"/>
      <c r="I102" s="696"/>
      <c r="J102" s="696"/>
      <c r="K102" s="696"/>
      <c r="L102" s="696"/>
      <c r="M102" s="684"/>
    </row>
    <row r="103" spans="1:15" ht="21" hidden="1" customHeight="1">
      <c r="A103" s="704"/>
      <c r="B103" s="696"/>
      <c r="C103" s="701" t="s">
        <v>781</v>
      </c>
      <c r="D103" s="727">
        <f>+IF(J100&lt;=1.5,IF(J100&lt;=1.4,IF(J100&lt;=1.3,IF(J100&lt;=1.2,IF(J100&lt;=1.1,Tra!P$5+(J100-Tra!$L$5)*Tra!T$5,Tra!P$6+(J100-Tra!$L$6)*Tra!T$6),Tra!P$7+(J100-Tra!$L$7)*Tra!T$7),Tra!P$8+(J100-Tra!$L$8)*Tra!T$8),Tra!P$9+(J100-Tra!$L$9)*Tra!T$9),Tra!P$10)</f>
        <v>0.11550000000000001</v>
      </c>
      <c r="E103" s="696" t="s">
        <v>782</v>
      </c>
      <c r="F103" s="727">
        <f>+IF(J100&lt;=1.5,IF(J100&lt;=1.4,IF(J100&lt;=1.3,IF(J100&lt;=1.2,IF(J100&lt;=1.1,Tra!N$5+(J100-Tra!$L$5)*Tra!R$5,Tra!N$6+(J100-Tra!$L$6)*Tra!R$6),Tra!N$7+(J100-Tra!$L$7)*Tra!R$7),Tra!N$8+(J100-Tra!$L$8)*Tra!R$8),Tra!N$9+(J100-Tra!$L$9)*Tra!R$9),Tra!N$10)</f>
        <v>5.5599999999999997E-2</v>
      </c>
      <c r="G103" s="728"/>
      <c r="H103" s="696"/>
      <c r="I103" s="696"/>
      <c r="J103" s="729">
        <f>C100</f>
        <v>2.6</v>
      </c>
      <c r="K103" s="696"/>
      <c r="L103" s="696"/>
      <c r="M103" s="684"/>
    </row>
    <row r="104" spans="1:15" ht="21" hidden="1" customHeight="1">
      <c r="A104" s="704"/>
      <c r="B104" s="704" t="s">
        <v>228</v>
      </c>
      <c r="C104" s="696"/>
      <c r="D104" s="696"/>
      <c r="E104" s="701" t="s">
        <v>783</v>
      </c>
      <c r="F104" s="699">
        <f>+MAX(F64,H64,J64)</f>
        <v>3.6157278331987155</v>
      </c>
      <c r="G104" s="704" t="s">
        <v>10</v>
      </c>
      <c r="H104" s="696"/>
      <c r="I104" s="696"/>
      <c r="J104" s="696"/>
      <c r="K104" s="696"/>
      <c r="L104" s="696"/>
      <c r="M104" s="684"/>
    </row>
    <row r="105" spans="1:15" ht="21" hidden="1" customHeight="1">
      <c r="A105" s="704"/>
      <c r="B105" s="701" t="s">
        <v>768</v>
      </c>
      <c r="C105" s="699">
        <f>+IF(J100&lt;2,D102*F104*C100*F100*1,0)</f>
        <v>1.3120825475668163</v>
      </c>
      <c r="D105" s="704" t="s">
        <v>666</v>
      </c>
      <c r="E105" s="701" t="s">
        <v>784</v>
      </c>
      <c r="F105" s="699">
        <f>+IF(J100&lt;2,F102*F104*C100*F100*1,0)</f>
        <v>0.15182441171601405</v>
      </c>
      <c r="G105" s="704" t="s">
        <v>666</v>
      </c>
      <c r="H105" s="696"/>
      <c r="I105" s="699">
        <f>F100</f>
        <v>1.7</v>
      </c>
      <c r="J105" s="696"/>
      <c r="K105" s="696"/>
      <c r="L105" s="696"/>
      <c r="M105" s="684"/>
    </row>
    <row r="106" spans="1:15" ht="21" hidden="1" customHeight="1">
      <c r="A106" s="704"/>
      <c r="B106" s="701" t="s">
        <v>770</v>
      </c>
      <c r="C106" s="699">
        <f>+IF(J100&lt;2,D103*F104*C100*F100*1,0)</f>
        <v>1.8458652161262763</v>
      </c>
      <c r="D106" s="704" t="s">
        <v>666</v>
      </c>
      <c r="E106" s="701" t="s">
        <v>785</v>
      </c>
      <c r="F106" s="699">
        <f>+IF(J100&lt;2,F103*F104*C100*F100*1,0)</f>
        <v>0.88857234646425065</v>
      </c>
      <c r="G106" s="704" t="s">
        <v>666</v>
      </c>
      <c r="H106" s="696"/>
      <c r="I106" s="696"/>
      <c r="J106" s="696"/>
      <c r="K106" s="696"/>
      <c r="L106" s="696"/>
      <c r="M106" s="684"/>
    </row>
    <row r="107" spans="1:15" ht="21" hidden="1" customHeight="1">
      <c r="A107" s="704"/>
      <c r="B107" s="704" t="s">
        <v>564</v>
      </c>
      <c r="C107" s="696"/>
      <c r="D107" s="699">
        <f>+MAX(C105,C106,F105,F106)</f>
        <v>1.8458652161262763</v>
      </c>
      <c r="E107" s="704" t="s">
        <v>666</v>
      </c>
      <c r="F107" s="701" t="s">
        <v>58</v>
      </c>
      <c r="G107" s="717">
        <f>D107/($E$59*$F$95^2)</f>
        <v>7.9264206811649005E-3</v>
      </c>
      <c r="H107" s="696" t="s">
        <v>772</v>
      </c>
      <c r="I107" s="718" t="s">
        <v>488</v>
      </c>
      <c r="J107" s="719">
        <f>0.5*(1+SQRT(1-2*G107))</f>
        <v>0.99602095687522874</v>
      </c>
      <c r="K107" s="696"/>
      <c r="L107" s="696"/>
      <c r="M107" s="684"/>
    </row>
    <row r="108" spans="1:15" ht="21" hidden="1" customHeight="1">
      <c r="A108" s="704"/>
      <c r="B108" s="704" t="s">
        <v>225</v>
      </c>
      <c r="C108" s="718"/>
      <c r="D108" s="701" t="s">
        <v>773</v>
      </c>
      <c r="E108" s="720">
        <f>+D107/($K$59*J107*$F$95)*10^4</f>
        <v>1.1766598954680665</v>
      </c>
      <c r="F108" s="721" t="s">
        <v>61</v>
      </c>
      <c r="G108" s="717"/>
      <c r="H108" s="696"/>
      <c r="I108" s="718"/>
      <c r="J108" s="719"/>
      <c r="K108" s="696"/>
      <c r="L108" s="696"/>
      <c r="M108" s="684"/>
    </row>
    <row r="109" spans="1:15" ht="21" hidden="1" customHeight="1">
      <c r="A109" s="1626" t="s">
        <v>716</v>
      </c>
      <c r="B109" s="1626"/>
      <c r="C109" s="722">
        <f>C113</f>
        <v>14</v>
      </c>
      <c r="D109" s="718" t="s">
        <v>715</v>
      </c>
      <c r="E109" s="711">
        <f>E98</f>
        <v>20</v>
      </c>
      <c r="F109" s="718" t="s">
        <v>774</v>
      </c>
      <c r="G109" s="699">
        <f>INT(100/E109)*3.14*((C109/1000)^2)/4*10^4</f>
        <v>7.6930000000000014</v>
      </c>
      <c r="H109" s="704" t="s">
        <v>563</v>
      </c>
      <c r="I109" s="718"/>
      <c r="J109" s="719"/>
      <c r="K109" s="696"/>
      <c r="L109" s="696"/>
      <c r="M109" s="690" t="str">
        <f>IF(G109&lt;E108,"NO","OK")</f>
        <v>OK</v>
      </c>
    </row>
    <row r="110" spans="1:15" ht="21" hidden="1" customHeight="1">
      <c r="A110" s="725" t="s">
        <v>565</v>
      </c>
      <c r="B110" s="730"/>
      <c r="C110" s="696"/>
      <c r="D110" s="699"/>
      <c r="E110" s="696"/>
      <c r="F110" s="699"/>
      <c r="G110" s="699"/>
      <c r="H110" s="696"/>
      <c r="I110" s="696"/>
      <c r="J110" s="696"/>
      <c r="K110" s="696"/>
      <c r="L110" s="696"/>
      <c r="M110" s="684"/>
    </row>
    <row r="111" spans="1:15" ht="21" hidden="1" customHeight="1">
      <c r="A111" s="704"/>
      <c r="B111" s="704" t="s">
        <v>566</v>
      </c>
      <c r="C111" s="696"/>
      <c r="D111" s="719">
        <f>IF(K100="&gt;= 2 Tính theo bản console",(F69*F100^2/2+(F64-F69)*F100^2/3)*1,0)</f>
        <v>0</v>
      </c>
      <c r="E111" s="704" t="s">
        <v>666</v>
      </c>
      <c r="F111" s="701" t="s">
        <v>58</v>
      </c>
      <c r="G111" s="717">
        <f>D111/($E$59*$F$95^2)</f>
        <v>0</v>
      </c>
      <c r="H111" s="696" t="s">
        <v>772</v>
      </c>
      <c r="I111" s="718" t="s">
        <v>488</v>
      </c>
      <c r="J111" s="719">
        <f>0.5*(1+SQRT(1-2*G111))</f>
        <v>1</v>
      </c>
      <c r="K111" s="696"/>
      <c r="L111" s="696"/>
      <c r="M111" s="684" t="s">
        <v>731</v>
      </c>
      <c r="N111" s="258">
        <f>ROUND(C40*1000/(K10*K11),2)*1</f>
        <v>213.17</v>
      </c>
      <c r="O111" s="258" t="s">
        <v>290</v>
      </c>
    </row>
    <row r="112" spans="1:15" ht="21" hidden="1" customHeight="1">
      <c r="A112" s="704"/>
      <c r="B112" s="704" t="s">
        <v>225</v>
      </c>
      <c r="C112" s="718"/>
      <c r="D112" s="701" t="s">
        <v>773</v>
      </c>
      <c r="E112" s="720">
        <f>+D111/($K$59*J111*$F$95)*10^4</f>
        <v>0</v>
      </c>
      <c r="F112" s="721" t="s">
        <v>61</v>
      </c>
      <c r="G112" s="717"/>
      <c r="H112" s="696"/>
      <c r="I112" s="718"/>
      <c r="J112" s="719"/>
      <c r="K112" s="696"/>
      <c r="L112" s="696"/>
      <c r="M112" s="684"/>
    </row>
    <row r="113" spans="1:14" ht="21" hidden="1" customHeight="1">
      <c r="A113" s="1626" t="s">
        <v>716</v>
      </c>
      <c r="B113" s="1626"/>
      <c r="C113" s="722">
        <f>C123</f>
        <v>14</v>
      </c>
      <c r="D113" s="718" t="s">
        <v>715</v>
      </c>
      <c r="E113" s="711">
        <f>E109</f>
        <v>20</v>
      </c>
      <c r="F113" s="718" t="s">
        <v>774</v>
      </c>
      <c r="G113" s="699">
        <f>INT(100/E113)*3.14*((C113/1000)^2)/4*10^4</f>
        <v>7.6930000000000014</v>
      </c>
      <c r="H113" s="704" t="s">
        <v>563</v>
      </c>
      <c r="I113" s="718"/>
      <c r="J113" s="719"/>
      <c r="K113" s="696"/>
      <c r="L113" s="696"/>
      <c r="M113" s="690" t="str">
        <f>IF(G113&lt;E112,"NO","OK")</f>
        <v>OK</v>
      </c>
    </row>
    <row r="114" spans="1:14" ht="22.15" hidden="1" customHeight="1">
      <c r="A114" s="695" t="s">
        <v>567</v>
      </c>
      <c r="B114" s="715"/>
      <c r="C114" s="718"/>
      <c r="D114" s="699"/>
      <c r="E114" s="696"/>
      <c r="F114" s="696"/>
      <c r="G114" s="696"/>
      <c r="H114" s="696"/>
      <c r="I114" s="699"/>
      <c r="J114" s="729">
        <f>C115</f>
        <v>2.6</v>
      </c>
      <c r="K114" s="696"/>
      <c r="L114" s="696"/>
      <c r="M114" s="684"/>
    </row>
    <row r="115" spans="1:14" ht="22.15" hidden="1" customHeight="1">
      <c r="A115" s="724"/>
      <c r="B115" s="701" t="s">
        <v>503</v>
      </c>
      <c r="C115" s="699">
        <f>K7</f>
        <v>2.6</v>
      </c>
      <c r="D115" s="704" t="s">
        <v>0</v>
      </c>
      <c r="E115" s="701" t="s">
        <v>504</v>
      </c>
      <c r="F115" s="699">
        <f>C115</f>
        <v>2.6</v>
      </c>
      <c r="G115" s="704" t="s">
        <v>0</v>
      </c>
      <c r="H115" s="696"/>
      <c r="I115" s="696"/>
      <c r="J115" s="696"/>
      <c r="K115" s="696"/>
      <c r="L115" s="696"/>
      <c r="M115" s="686" t="s">
        <v>505</v>
      </c>
    </row>
    <row r="116" spans="1:14" ht="22.15" hidden="1" customHeight="1">
      <c r="A116" s="704"/>
      <c r="B116" s="696" t="s">
        <v>786</v>
      </c>
      <c r="C116" s="701" t="s">
        <v>787</v>
      </c>
      <c r="D116" s="731" t="e">
        <f ca="1">mi(M116,C115,F115)</f>
        <v>#NAME?</v>
      </c>
      <c r="E116" s="701" t="s">
        <v>780</v>
      </c>
      <c r="F116" s="727" t="e">
        <f ca="1">ki(M116,C115,F115)</f>
        <v>#NAME?</v>
      </c>
      <c r="G116" s="699"/>
      <c r="H116" s="696"/>
      <c r="I116" s="696"/>
      <c r="J116" s="696"/>
      <c r="K116" s="696"/>
      <c r="L116" s="696"/>
      <c r="M116" s="687">
        <v>9</v>
      </c>
      <c r="N116" s="258" t="s">
        <v>506</v>
      </c>
    </row>
    <row r="117" spans="1:14" ht="22.15" hidden="1" customHeight="1">
      <c r="A117" s="704"/>
      <c r="B117" s="696"/>
      <c r="C117" s="701" t="s">
        <v>788</v>
      </c>
      <c r="D117" s="731" t="e">
        <f ca="1">mi(M116,C115,F115)</f>
        <v>#NAME?</v>
      </c>
      <c r="E117" s="701" t="s">
        <v>782</v>
      </c>
      <c r="F117" s="727" t="e">
        <f ca="1">ki(M116,C115,F115)</f>
        <v>#NAME?</v>
      </c>
      <c r="G117" s="699"/>
      <c r="H117" s="696"/>
      <c r="I117" s="696"/>
      <c r="J117" s="696"/>
      <c r="K117" s="696"/>
      <c r="L117" s="696"/>
      <c r="M117" s="684"/>
    </row>
    <row r="118" spans="1:14" ht="22.15" hidden="1" customHeight="1">
      <c r="A118" s="704"/>
      <c r="B118" s="704" t="s">
        <v>228</v>
      </c>
      <c r="C118" s="696"/>
      <c r="D118" s="696"/>
      <c r="E118" s="701" t="s">
        <v>783</v>
      </c>
      <c r="F118" s="699">
        <f>F104</f>
        <v>3.6157278331987155</v>
      </c>
      <c r="G118" s="704" t="s">
        <v>10</v>
      </c>
      <c r="H118" s="696"/>
      <c r="I118" s="710">
        <f>C115</f>
        <v>2.6</v>
      </c>
      <c r="J118" s="696"/>
      <c r="K118" s="696"/>
      <c r="L118" s="696"/>
      <c r="M118" s="684"/>
    </row>
    <row r="119" spans="1:14" ht="22.15" hidden="1" customHeight="1">
      <c r="A119" s="704"/>
      <c r="B119" s="701" t="s">
        <v>768</v>
      </c>
      <c r="C119" s="720" t="e">
        <f ca="1">D116*F118*C115*F115</f>
        <v>#NAME?</v>
      </c>
      <c r="D119" s="704" t="s">
        <v>666</v>
      </c>
      <c r="E119" s="701" t="s">
        <v>784</v>
      </c>
      <c r="F119" s="699" t="e">
        <f ca="1">F116*C115*F115*F118</f>
        <v>#NAME?</v>
      </c>
      <c r="G119" s="704" t="s">
        <v>666</v>
      </c>
      <c r="H119" s="699"/>
      <c r="I119" s="699"/>
      <c r="J119" s="696"/>
      <c r="K119" s="696"/>
      <c r="L119" s="696"/>
      <c r="M119" s="684"/>
    </row>
    <row r="120" spans="1:14" ht="22.15" hidden="1" customHeight="1">
      <c r="A120" s="704"/>
      <c r="B120" s="701" t="s">
        <v>770</v>
      </c>
      <c r="C120" s="720" t="e">
        <f ca="1">D117*C115*F115*F118</f>
        <v>#NAME?</v>
      </c>
      <c r="D120" s="704" t="s">
        <v>666</v>
      </c>
      <c r="E120" s="701" t="s">
        <v>785</v>
      </c>
      <c r="F120" s="699" t="e">
        <f ca="1">F119</f>
        <v>#NAME?</v>
      </c>
      <c r="G120" s="704" t="s">
        <v>666</v>
      </c>
      <c r="H120" s="696"/>
      <c r="I120" s="696"/>
      <c r="J120" s="696"/>
      <c r="K120" s="696"/>
      <c r="L120" s="696"/>
      <c r="M120" s="684"/>
    </row>
    <row r="121" spans="1:14" ht="22.15" hidden="1" customHeight="1">
      <c r="A121" s="704"/>
      <c r="B121" s="704" t="s">
        <v>568</v>
      </c>
      <c r="C121" s="718"/>
      <c r="D121" s="699" t="e">
        <f ca="1">MAX(C119,C120,F119,F120)</f>
        <v>#NAME?</v>
      </c>
      <c r="E121" s="704" t="s">
        <v>666</v>
      </c>
      <c r="F121" s="701" t="s">
        <v>58</v>
      </c>
      <c r="G121" s="717" t="e">
        <f ca="1">D121/($E$59*$F$95^2)</f>
        <v>#NAME?</v>
      </c>
      <c r="H121" s="696" t="s">
        <v>772</v>
      </c>
      <c r="I121" s="718" t="s">
        <v>488</v>
      </c>
      <c r="J121" s="719" t="e">
        <f ca="1">0.5*(1+SQRT(1-2*G121))</f>
        <v>#NAME?</v>
      </c>
      <c r="K121" s="696"/>
      <c r="L121" s="696"/>
      <c r="M121" s="684"/>
    </row>
    <row r="122" spans="1:14" ht="22.15" hidden="1" customHeight="1">
      <c r="A122" s="704"/>
      <c r="B122" s="704" t="s">
        <v>225</v>
      </c>
      <c r="C122" s="718"/>
      <c r="D122" s="701" t="s">
        <v>773</v>
      </c>
      <c r="E122" s="720" t="e">
        <f ca="1">+D121/($K$59*J121*$F$95)*10^4</f>
        <v>#NAME?</v>
      </c>
      <c r="F122" s="721" t="s">
        <v>61</v>
      </c>
      <c r="G122" s="699"/>
      <c r="H122" s="696"/>
      <c r="J122" s="719"/>
      <c r="K122" s="696"/>
      <c r="L122" s="696"/>
      <c r="M122" s="684"/>
    </row>
    <row r="123" spans="1:14" ht="22.15" hidden="1" customHeight="1">
      <c r="A123" s="1626" t="s">
        <v>716</v>
      </c>
      <c r="B123" s="1626"/>
      <c r="C123" s="722">
        <f>C127</f>
        <v>14</v>
      </c>
      <c r="D123" s="716" t="s">
        <v>715</v>
      </c>
      <c r="E123" s="711">
        <v>20</v>
      </c>
      <c r="F123" s="718" t="s">
        <v>792</v>
      </c>
      <c r="G123" s="699">
        <f>INT(100/E123)*3.14*((C123/1000)^2)/4*10^4</f>
        <v>7.6930000000000014</v>
      </c>
      <c r="H123" s="704" t="s">
        <v>563</v>
      </c>
      <c r="J123" s="719"/>
      <c r="K123" s="696"/>
      <c r="L123" s="696"/>
      <c r="M123" s="684" t="e">
        <f ca="1">IF(G123&gt;E122,"OK","NO")</f>
        <v>#NAME?</v>
      </c>
    </row>
    <row r="124" spans="1:14" ht="22.15" hidden="1" customHeight="1">
      <c r="A124" s="704"/>
      <c r="B124" s="704" t="s">
        <v>728</v>
      </c>
      <c r="C124" s="717"/>
      <c r="D124" s="696"/>
      <c r="E124" s="718"/>
      <c r="F124" s="719"/>
      <c r="G124" s="699"/>
      <c r="H124" s="696"/>
      <c r="I124" s="696"/>
      <c r="J124" s="696"/>
      <c r="K124" s="696"/>
      <c r="L124" s="696"/>
      <c r="M124" s="684"/>
    </row>
    <row r="125" spans="1:14" ht="22.15" hidden="1" customHeight="1">
      <c r="A125" s="704"/>
      <c r="B125" s="701" t="s">
        <v>789</v>
      </c>
      <c r="C125" s="717" t="e">
        <f ca="1">MAX(C93:C94,D107,D111,D121)</f>
        <v>#NAME?</v>
      </c>
      <c r="D125" s="704" t="s">
        <v>666</v>
      </c>
      <c r="E125" s="701" t="s">
        <v>58</v>
      </c>
      <c r="F125" s="717" t="e">
        <f ca="1">C125/($E$59*$F$95^2)</f>
        <v>#NAME?</v>
      </c>
      <c r="G125" s="696" t="s">
        <v>772</v>
      </c>
      <c r="H125" s="718" t="s">
        <v>791</v>
      </c>
      <c r="I125" s="719" t="e">
        <f ca="1">0.5*(1+SQRT(1-2*F125))</f>
        <v>#NAME?</v>
      </c>
      <c r="J125" s="701" t="s">
        <v>729</v>
      </c>
      <c r="K125" s="696"/>
      <c r="L125" s="696"/>
      <c r="M125" s="684"/>
    </row>
    <row r="126" spans="1:14" ht="22.15" hidden="1" customHeight="1">
      <c r="A126" s="704"/>
      <c r="B126" s="704" t="s">
        <v>225</v>
      </c>
      <c r="C126" s="718"/>
      <c r="D126" s="701" t="s">
        <v>773</v>
      </c>
      <c r="E126" s="720" t="e">
        <f ca="1">+C125/($K$59*I125*$F$95)*10^4</f>
        <v>#NAME?</v>
      </c>
      <c r="F126" s="721" t="s">
        <v>61</v>
      </c>
      <c r="G126" s="699"/>
      <c r="H126" s="696"/>
      <c r="I126" s="696"/>
      <c r="J126" s="696"/>
      <c r="K126" s="696"/>
      <c r="L126" s="696"/>
      <c r="M126" s="684"/>
    </row>
    <row r="127" spans="1:14" ht="22.15" hidden="1" customHeight="1">
      <c r="A127" s="1626" t="s">
        <v>716</v>
      </c>
      <c r="B127" s="1626"/>
      <c r="C127" s="722">
        <v>14</v>
      </c>
      <c r="D127" s="716" t="s">
        <v>715</v>
      </c>
      <c r="E127" s="711">
        <v>20</v>
      </c>
      <c r="F127" s="718" t="s">
        <v>792</v>
      </c>
      <c r="G127" s="699">
        <f>INT(100/E127)*3.14*((C127/1000)^2)/4*10^4</f>
        <v>7.6930000000000014</v>
      </c>
      <c r="H127" s="704" t="s">
        <v>563</v>
      </c>
      <c r="I127" s="696"/>
      <c r="J127" s="696"/>
      <c r="K127" s="696"/>
      <c r="L127" s="696"/>
      <c r="M127" s="684" t="e">
        <f ca="1">IF(G127&gt;E126,"OK","NO")</f>
        <v>#NAME?</v>
      </c>
    </row>
    <row r="128" spans="1:14" ht="22.15" hidden="1" customHeight="1">
      <c r="A128" s="1626" t="s">
        <v>646</v>
      </c>
      <c r="B128" s="1626"/>
      <c r="C128" s="696" t="s">
        <v>80</v>
      </c>
      <c r="D128" s="696" t="e">
        <f ca="1">ROUND(E126/(F95*100),2)</f>
        <v>#NAME?</v>
      </c>
      <c r="E128" s="704" t="s">
        <v>647</v>
      </c>
      <c r="F128" s="699"/>
      <c r="G128" s="699"/>
      <c r="H128" s="696"/>
      <c r="I128" s="696"/>
      <c r="J128" s="696"/>
      <c r="K128" s="696"/>
      <c r="L128" s="696"/>
      <c r="M128" s="684" t="e">
        <f ca="1">IF(D128&gt;0.1,"OK","NO")</f>
        <v>#NAME?</v>
      </c>
    </row>
    <row r="129" spans="1:22" ht="22.15" customHeight="1">
      <c r="A129" s="1178" t="s">
        <v>898</v>
      </c>
      <c r="B129" s="696"/>
      <c r="C129" s="718"/>
      <c r="D129" s="699"/>
      <c r="E129" s="696"/>
      <c r="F129" s="699"/>
      <c r="G129" s="699"/>
      <c r="H129" s="696"/>
      <c r="I129" s="696"/>
      <c r="J129" s="696"/>
      <c r="K129" s="696"/>
      <c r="L129" s="696"/>
      <c r="M129" s="684"/>
    </row>
    <row r="130" spans="1:22" ht="22.15" customHeight="1">
      <c r="A130" s="704"/>
      <c r="B130" s="732" t="s">
        <v>790</v>
      </c>
      <c r="C130" s="696">
        <f>ROUND(N111/1000,2)</f>
        <v>0.21</v>
      </c>
      <c r="D130" s="704" t="s">
        <v>524</v>
      </c>
      <c r="E130" s="696"/>
      <c r="F130" s="699"/>
      <c r="G130" s="699"/>
      <c r="H130" s="696"/>
      <c r="I130" s="696"/>
      <c r="J130" s="696"/>
      <c r="K130" s="696"/>
      <c r="L130" s="696"/>
      <c r="M130" s="684"/>
    </row>
    <row r="131" spans="1:22" ht="22.15" customHeight="1">
      <c r="A131" s="1654" t="s">
        <v>569</v>
      </c>
      <c r="B131" s="1654"/>
      <c r="C131" s="1654"/>
      <c r="D131" s="718"/>
      <c r="E131" s="729">
        <f>1.25*0.5*E60*1*F95</f>
        <v>25.3125</v>
      </c>
      <c r="F131" s="759" t="s">
        <v>793</v>
      </c>
      <c r="I131" s="696"/>
      <c r="J131" s="696"/>
      <c r="K131" s="696"/>
      <c r="L131" s="716" t="s">
        <v>570</v>
      </c>
      <c r="M131" s="684"/>
    </row>
    <row r="132" spans="1:22" ht="19.899999999999999" hidden="1" customHeight="1">
      <c r="A132" s="713" t="s">
        <v>571</v>
      </c>
      <c r="B132" s="696"/>
      <c r="C132" s="696"/>
      <c r="D132" s="696"/>
      <c r="E132" s="696"/>
      <c r="F132" s="696"/>
      <c r="G132" s="696"/>
      <c r="H132" s="1620">
        <f>(F64+F74)*(2*K28+N21)/2</f>
        <v>4.570810332175621</v>
      </c>
      <c r="I132" s="1620"/>
      <c r="J132" s="704" t="s">
        <v>3</v>
      </c>
      <c r="K132" s="696"/>
      <c r="L132" s="696"/>
      <c r="M132" s="678"/>
      <c r="Q132" s="1655" t="s">
        <v>730</v>
      </c>
      <c r="R132" s="1655"/>
    </row>
    <row r="133" spans="1:22" ht="19.899999999999999" hidden="1" customHeight="1">
      <c r="A133" s="704"/>
      <c r="B133" s="696"/>
      <c r="C133" s="696"/>
      <c r="D133" s="696"/>
      <c r="E133" s="696"/>
      <c r="F133" s="696"/>
      <c r="G133" s="696"/>
      <c r="H133" s="696"/>
      <c r="I133" s="696"/>
      <c r="J133" s="699"/>
      <c r="K133" s="696"/>
      <c r="L133" s="696"/>
      <c r="M133" s="678"/>
      <c r="Q133" s="370" t="s">
        <v>31</v>
      </c>
      <c r="R133" s="370">
        <f>H151</f>
        <v>4.570810332175621</v>
      </c>
    </row>
    <row r="134" spans="1:22" ht="19.899999999999999" hidden="1" customHeight="1">
      <c r="A134" s="704"/>
      <c r="B134" s="696"/>
      <c r="C134" s="696"/>
      <c r="D134" s="696"/>
      <c r="E134" s="696"/>
      <c r="F134" s="696"/>
      <c r="G134" s="696"/>
      <c r="H134" s="696"/>
      <c r="I134" s="696"/>
      <c r="J134" s="699"/>
      <c r="K134" s="696"/>
      <c r="L134" s="696"/>
      <c r="M134" s="678" t="s">
        <v>145</v>
      </c>
      <c r="N134" s="426">
        <f>0.5*(K26+N21/2)^2*F69*2*1000</f>
        <v>4065.98910294088</v>
      </c>
      <c r="O134" s="258" t="s">
        <v>149</v>
      </c>
      <c r="P134" s="257">
        <f>+K28+N138/2</f>
        <v>1.45</v>
      </c>
      <c r="Q134" s="370" t="s">
        <v>32</v>
      </c>
      <c r="R134" s="370">
        <f>H141</f>
        <v>4.5133911772745083</v>
      </c>
    </row>
    <row r="135" spans="1:22" ht="19.899999999999999" hidden="1" customHeight="1">
      <c r="A135" s="704"/>
      <c r="B135" s="696"/>
      <c r="C135" s="696"/>
      <c r="D135" s="696"/>
      <c r="E135" s="696"/>
      <c r="F135" s="696"/>
      <c r="G135" s="696"/>
      <c r="H135" s="696"/>
      <c r="I135" s="696"/>
      <c r="J135" s="699">
        <f>Y52-K47</f>
        <v>0</v>
      </c>
      <c r="K135" s="696"/>
      <c r="L135" s="696"/>
      <c r="M135" s="678" t="s">
        <v>146</v>
      </c>
      <c r="N135" s="427">
        <f>0.5*(K26+N21/2)^2*0.5*(F64-F69)*2*1000</f>
        <v>0</v>
      </c>
      <c r="O135" s="258" t="s">
        <v>150</v>
      </c>
      <c r="P135" s="257">
        <f>1/2*K28</f>
        <v>0.6</v>
      </c>
      <c r="Q135" s="370" t="s">
        <v>481</v>
      </c>
      <c r="R135" s="370">
        <f>K7</f>
        <v>2.6</v>
      </c>
    </row>
    <row r="136" spans="1:22" ht="19.899999999999999" hidden="1" customHeight="1">
      <c r="A136" s="704"/>
      <c r="B136" s="696"/>
      <c r="C136" s="696"/>
      <c r="D136" s="696"/>
      <c r="E136" s="696"/>
      <c r="F136" s="696"/>
      <c r="G136" s="696"/>
      <c r="H136" s="696"/>
      <c r="I136" s="696"/>
      <c r="J136" s="699"/>
      <c r="K136" s="696"/>
      <c r="L136" s="696"/>
      <c r="M136" s="678" t="s">
        <v>148</v>
      </c>
      <c r="N136" s="427">
        <f>+(K26+N21/2)*N138*F76*2*1000</f>
        <v>2866.2368770422772</v>
      </c>
      <c r="O136" s="258" t="s">
        <v>151</v>
      </c>
      <c r="P136" s="257">
        <f>2/3*K28</f>
        <v>0.79999999999999993</v>
      </c>
      <c r="Q136" s="370" t="s">
        <v>482</v>
      </c>
      <c r="R136" s="370">
        <f>(K10-K7)/2</f>
        <v>1.2</v>
      </c>
    </row>
    <row r="137" spans="1:22" ht="19.899999999999999" hidden="1" customHeight="1">
      <c r="A137" s="704"/>
      <c r="B137" s="696"/>
      <c r="C137" s="696"/>
      <c r="D137" s="696"/>
      <c r="E137" s="696"/>
      <c r="F137" s="696"/>
      <c r="G137" s="696"/>
      <c r="H137" s="696"/>
      <c r="I137" s="696"/>
      <c r="J137" s="699"/>
      <c r="K137" s="696"/>
      <c r="L137" s="728"/>
      <c r="M137" s="678" t="s">
        <v>113</v>
      </c>
      <c r="N137" s="425">
        <f>+(K11-K8)/2-N21/2</f>
        <v>1.2</v>
      </c>
      <c r="Q137" s="370" t="s">
        <v>33</v>
      </c>
      <c r="R137" s="370">
        <f>0.5*(R133*R136+R135*R134-R136*R134)</f>
        <v>5.9018600233975285</v>
      </c>
    </row>
    <row r="138" spans="1:22" ht="19.899999999999999" hidden="1" customHeight="1">
      <c r="A138" s="704"/>
      <c r="B138" s="696"/>
      <c r="C138" s="696"/>
      <c r="D138" s="696"/>
      <c r="E138" s="696"/>
      <c r="F138" s="696"/>
      <c r="G138" s="696"/>
      <c r="H138" s="696"/>
      <c r="I138" s="696"/>
      <c r="J138" s="699"/>
      <c r="K138" s="696"/>
      <c r="L138" s="728"/>
      <c r="M138" s="678" t="s">
        <v>147</v>
      </c>
      <c r="N138" s="257">
        <f>+K28-K26</f>
        <v>0.5</v>
      </c>
    </row>
    <row r="139" spans="1:22" ht="19.899999999999999" hidden="1" customHeight="1">
      <c r="A139" s="704"/>
      <c r="B139" s="696"/>
      <c r="C139" s="696"/>
      <c r="D139" s="696"/>
      <c r="E139" s="696"/>
      <c r="F139" s="696"/>
      <c r="G139" s="696"/>
      <c r="H139" s="696"/>
      <c r="I139" s="696"/>
      <c r="J139" s="699"/>
      <c r="K139" s="696"/>
      <c r="L139" s="728"/>
      <c r="M139" s="678" t="s">
        <v>152</v>
      </c>
      <c r="N139" s="426">
        <f>R133*R136^2*100*2/3</f>
        <v>438.79779188885959</v>
      </c>
      <c r="P139" s="245" t="s">
        <v>141</v>
      </c>
      <c r="Q139" s="424">
        <f>MAX(E34:E37)</f>
        <v>6.3949999999999987</v>
      </c>
      <c r="R139" s="424" t="s">
        <v>524</v>
      </c>
      <c r="S139" s="245" t="s">
        <v>650</v>
      </c>
      <c r="T139" s="424">
        <f>R133</f>
        <v>4.570810332175621</v>
      </c>
    </row>
    <row r="140" spans="1:22" ht="19.899999999999999" hidden="1" customHeight="1">
      <c r="A140" s="704"/>
      <c r="B140" s="696"/>
      <c r="C140" s="696"/>
      <c r="D140" s="696"/>
      <c r="E140" s="696"/>
      <c r="F140" s="696"/>
      <c r="G140" s="696"/>
      <c r="H140" s="696"/>
      <c r="I140" s="696"/>
      <c r="J140" s="699"/>
      <c r="K140" s="696"/>
      <c r="L140" s="728"/>
      <c r="M140" s="678" t="s">
        <v>152</v>
      </c>
      <c r="N140" s="428">
        <f>+(N134*P134+N135*P135+N136*P136)*100</f>
        <v>818867.37008980976</v>
      </c>
      <c r="P140" s="245" t="s">
        <v>644</v>
      </c>
      <c r="Q140" s="141">
        <f>K42*1.8*1.15</f>
        <v>102.76308000000002</v>
      </c>
      <c r="R140" s="245" t="s">
        <v>524</v>
      </c>
      <c r="S140" s="245" t="s">
        <v>651</v>
      </c>
      <c r="T140" s="141">
        <f>$T$139+MAX($N$46:$N$48)/$K$34+MAX($O$46:$O$48)/$K$36</f>
        <v>9.0729299321756223</v>
      </c>
    </row>
    <row r="141" spans="1:22" ht="19.899999999999999" hidden="1" customHeight="1">
      <c r="A141" s="704"/>
      <c r="B141" s="696"/>
      <c r="C141" s="696"/>
      <c r="D141" s="696"/>
      <c r="E141" s="696"/>
      <c r="F141" s="696"/>
      <c r="G141" s="696"/>
      <c r="H141" s="1620">
        <f>(F64+F75)*(K11-K21)/4</f>
        <v>4.5133911772745083</v>
      </c>
      <c r="I141" s="1620"/>
      <c r="J141" s="704" t="s">
        <v>3</v>
      </c>
      <c r="K141" s="699"/>
      <c r="L141" s="699"/>
      <c r="M141" s="678" t="s">
        <v>859</v>
      </c>
      <c r="N141" s="428">
        <f>(0.5*R137*R135-0.5*R133*R136*(2*R136/3+R135/2)-R134*(R136/2*(R136/3-R136+R135/2))-R134*(R135-2*R136)^2/8)*1000*100</f>
        <v>53661.270280677934</v>
      </c>
      <c r="P141" s="245" t="s">
        <v>645</v>
      </c>
      <c r="Q141" s="141">
        <f>K30*2.5</f>
        <v>63.389999999999993</v>
      </c>
      <c r="R141" s="245" t="s">
        <v>524</v>
      </c>
      <c r="S141" s="245" t="s">
        <v>652</v>
      </c>
      <c r="T141" s="141">
        <f>$T$139-MAX($N$46:$N$48)/$K$34-MAX($O$46:$O$48)/$K$36</f>
        <v>6.8690732175620717E-2</v>
      </c>
    </row>
    <row r="142" spans="1:22" ht="19.899999999999999" hidden="1" customHeight="1">
      <c r="A142" s="704"/>
      <c r="B142" s="696"/>
      <c r="C142" s="696"/>
      <c r="D142" s="696"/>
      <c r="E142" s="696"/>
      <c r="F142" s="696"/>
      <c r="G142" s="696"/>
      <c r="H142" s="696"/>
      <c r="I142" s="696"/>
      <c r="J142" s="696"/>
      <c r="K142" s="699"/>
      <c r="L142" s="699"/>
      <c r="M142" s="678"/>
      <c r="P142" s="245" t="s">
        <v>649</v>
      </c>
      <c r="Q142" s="424">
        <f>SUM(Q139:Q141)</f>
        <v>172.54808</v>
      </c>
      <c r="R142" s="245" t="s">
        <v>524</v>
      </c>
    </row>
    <row r="143" spans="1:22" ht="19.899999999999999" hidden="1" customHeight="1">
      <c r="A143" s="704"/>
      <c r="B143" s="696"/>
      <c r="C143" s="696"/>
      <c r="D143" s="696"/>
      <c r="E143" s="696"/>
      <c r="F143" s="696"/>
      <c r="G143" s="696"/>
      <c r="H143" s="696"/>
      <c r="I143" s="696"/>
      <c r="J143" s="699"/>
      <c r="K143" s="696"/>
      <c r="L143" s="696"/>
      <c r="M143" s="678"/>
      <c r="N143" s="245" t="s">
        <v>631</v>
      </c>
      <c r="O143" s="245" t="s">
        <v>632</v>
      </c>
      <c r="P143" s="245" t="s">
        <v>638</v>
      </c>
      <c r="Q143" s="245" t="s">
        <v>639</v>
      </c>
      <c r="R143" s="245" t="s">
        <v>640</v>
      </c>
      <c r="S143" s="245" t="s">
        <v>346</v>
      </c>
      <c r="T143" s="245" t="s">
        <v>641</v>
      </c>
      <c r="U143" s="245" t="s">
        <v>642</v>
      </c>
      <c r="V143" s="245" t="s">
        <v>643</v>
      </c>
    </row>
    <row r="144" spans="1:22" ht="19.899999999999999" hidden="1" customHeight="1">
      <c r="A144" s="704"/>
      <c r="B144" s="696"/>
      <c r="C144" s="696"/>
      <c r="D144" s="696"/>
      <c r="E144" s="696"/>
      <c r="F144" s="696"/>
      <c r="G144" s="696"/>
      <c r="H144" s="696"/>
      <c r="I144" s="696"/>
      <c r="J144" s="699"/>
      <c r="L144" s="696"/>
      <c r="M144" s="678"/>
      <c r="N144" s="141">
        <f>T140</f>
        <v>9.0729299321756223</v>
      </c>
      <c r="O144" s="424">
        <f>MAX(K10:K11)</f>
        <v>6</v>
      </c>
      <c r="P144" s="245">
        <f>MAX(K26,K28)+N21/2</f>
        <v>1.7</v>
      </c>
      <c r="Q144" s="245">
        <f>O144-2*P144</f>
        <v>2.6</v>
      </c>
      <c r="R144" s="245">
        <f>P144</f>
        <v>1.7</v>
      </c>
      <c r="S144" s="245">
        <f>P144*2</f>
        <v>3.4</v>
      </c>
      <c r="T144" s="245">
        <f>Q144*2</f>
        <v>5.2</v>
      </c>
      <c r="U144" s="245">
        <f t="shared" ref="U144" si="11">R144*2</f>
        <v>3.4</v>
      </c>
      <c r="V144" s="245">
        <f>ROUND(N144*2,2)</f>
        <v>18.149999999999999</v>
      </c>
    </row>
    <row r="145" spans="1:22" ht="19.899999999999999" hidden="1" customHeight="1">
      <c r="A145" s="704"/>
      <c r="B145" s="696"/>
      <c r="C145" s="696"/>
      <c r="D145" s="696"/>
      <c r="E145" s="696"/>
      <c r="F145" s="696"/>
      <c r="G145" s="696"/>
      <c r="H145" s="696"/>
      <c r="I145" s="696"/>
      <c r="J145" s="699"/>
      <c r="K145" s="696"/>
      <c r="L145" s="696"/>
      <c r="M145" s="678"/>
      <c r="N145" s="245" t="s">
        <v>633</v>
      </c>
      <c r="O145" s="245" t="s">
        <v>635</v>
      </c>
      <c r="P145" s="245" t="s">
        <v>636</v>
      </c>
      <c r="Q145" s="245" t="s">
        <v>637</v>
      </c>
      <c r="R145" s="245"/>
      <c r="S145" s="245"/>
      <c r="T145" s="245"/>
      <c r="U145" s="245"/>
      <c r="V145" s="245"/>
    </row>
    <row r="146" spans="1:22" ht="19.899999999999999" hidden="1" customHeight="1">
      <c r="A146" s="704"/>
      <c r="B146" s="696"/>
      <c r="C146" s="696"/>
      <c r="D146" s="696"/>
      <c r="E146" s="696"/>
      <c r="F146" s="696"/>
      <c r="G146" s="696"/>
      <c r="H146" s="696"/>
      <c r="I146" s="696"/>
      <c r="J146" s="699"/>
      <c r="K146" s="696"/>
      <c r="L146" s="696"/>
      <c r="M146" s="678"/>
      <c r="N146" s="245">
        <f>ROUND(N144*O144*(O144-U144)/T144,2)</f>
        <v>27.22</v>
      </c>
      <c r="O146" s="245">
        <f>ROUND(N144*P144,2)</f>
        <v>15.42</v>
      </c>
      <c r="P146" s="245">
        <f>ROUND(N144*P144*P144/2,2)</f>
        <v>13.11</v>
      </c>
      <c r="Q146" s="245">
        <f>ROUND(N146*(N146/V144-P144),2)</f>
        <v>-5.45</v>
      </c>
      <c r="R146" s="245"/>
      <c r="S146" s="245"/>
      <c r="T146" s="245"/>
      <c r="U146" s="245"/>
      <c r="V146" s="245"/>
    </row>
    <row r="147" spans="1:22" ht="19.899999999999999" hidden="1" customHeight="1">
      <c r="A147" s="704"/>
      <c r="B147" s="696"/>
      <c r="C147" s="696"/>
      <c r="D147" s="696"/>
      <c r="E147" s="696"/>
      <c r="F147" s="696"/>
      <c r="G147" s="696"/>
      <c r="H147" s="696"/>
      <c r="I147" s="696"/>
      <c r="J147" s="699"/>
      <c r="K147" s="696"/>
      <c r="L147" s="696"/>
      <c r="M147" s="678"/>
    </row>
    <row r="148" spans="1:22" ht="19.899999999999999" hidden="1" customHeight="1">
      <c r="A148" s="704"/>
      <c r="B148" s="696"/>
      <c r="C148" s="696"/>
      <c r="D148" s="696"/>
      <c r="E148" s="696"/>
      <c r="F148" s="696"/>
      <c r="G148" s="696"/>
      <c r="H148" s="696"/>
      <c r="I148" s="696"/>
      <c r="J148" s="699"/>
      <c r="K148" s="699"/>
      <c r="L148" s="699"/>
      <c r="M148" s="678"/>
      <c r="N148" s="258" t="s">
        <v>624</v>
      </c>
    </row>
    <row r="149" spans="1:22" ht="19.899999999999999" hidden="1" customHeight="1">
      <c r="A149" s="704"/>
      <c r="B149" s="696"/>
      <c r="C149" s="696"/>
      <c r="D149" s="696"/>
      <c r="E149" s="696"/>
      <c r="F149" s="696"/>
      <c r="G149" s="696"/>
      <c r="H149" s="696"/>
      <c r="I149" s="696"/>
      <c r="J149" s="699"/>
      <c r="K149" s="699"/>
      <c r="L149" s="699"/>
      <c r="M149" s="678"/>
      <c r="N149" s="258" t="s">
        <v>625</v>
      </c>
      <c r="O149" s="374">
        <f>P146</f>
        <v>13.11</v>
      </c>
      <c r="P149" s="258" t="s">
        <v>626</v>
      </c>
      <c r="Q149" s="258">
        <f>O149*1000*100</f>
        <v>1311000</v>
      </c>
      <c r="R149" s="258" t="s">
        <v>653</v>
      </c>
    </row>
    <row r="150" spans="1:22" ht="19.899999999999999" hidden="1" customHeight="1">
      <c r="A150" s="704"/>
      <c r="B150" s="696"/>
      <c r="C150" s="696"/>
      <c r="D150" s="696"/>
      <c r="E150" s="696"/>
      <c r="F150" s="696"/>
      <c r="G150" s="696"/>
      <c r="H150" s="696"/>
      <c r="I150" s="696"/>
      <c r="J150" s="696"/>
      <c r="K150" s="699"/>
      <c r="L150" s="699"/>
      <c r="M150" s="678"/>
      <c r="N150" s="258" t="s">
        <v>627</v>
      </c>
      <c r="O150" s="258">
        <f>Q146*6</f>
        <v>-32.700000000000003</v>
      </c>
      <c r="P150" s="258" t="s">
        <v>626</v>
      </c>
      <c r="Q150" s="258">
        <f>O150*1000*100</f>
        <v>-3270000.0000000005</v>
      </c>
      <c r="R150" s="258" t="s">
        <v>653</v>
      </c>
    </row>
    <row r="151" spans="1:22" ht="19.899999999999999" hidden="1" customHeight="1">
      <c r="A151" s="704"/>
      <c r="B151" s="696"/>
      <c r="C151" s="696"/>
      <c r="D151" s="696"/>
      <c r="E151" s="696"/>
      <c r="F151" s="696"/>
      <c r="G151" s="696"/>
      <c r="H151" s="1587">
        <f>H132</f>
        <v>4.570810332175621</v>
      </c>
      <c r="I151" s="1587"/>
      <c r="J151" s="704" t="s">
        <v>3</v>
      </c>
      <c r="K151" s="696"/>
      <c r="L151" s="696"/>
      <c r="M151" s="678"/>
      <c r="N151" s="258" t="s">
        <v>634</v>
      </c>
      <c r="O151" s="258">
        <f>O146</f>
        <v>15.42</v>
      </c>
      <c r="P151" s="258" t="s">
        <v>524</v>
      </c>
    </row>
    <row r="152" spans="1:22" ht="22.15" hidden="1" customHeight="1">
      <c r="A152" s="1626" t="s">
        <v>224</v>
      </c>
      <c r="B152" s="1626"/>
      <c r="C152" s="1626"/>
      <c r="D152" s="701" t="s">
        <v>66</v>
      </c>
      <c r="E152" s="702">
        <f>N140/1000/100</f>
        <v>8.1886737008980983</v>
      </c>
      <c r="F152" s="704" t="s">
        <v>4</v>
      </c>
      <c r="G152" s="696"/>
      <c r="H152" s="702"/>
      <c r="I152" s="696"/>
      <c r="J152" s="696"/>
      <c r="K152" s="696"/>
      <c r="L152" s="696"/>
      <c r="M152" s="688"/>
    </row>
    <row r="153" spans="1:22" ht="22.15" hidden="1" customHeight="1">
      <c r="A153" s="1626" t="s">
        <v>234</v>
      </c>
      <c r="B153" s="1626"/>
      <c r="C153" s="1626"/>
      <c r="D153" s="701" t="s">
        <v>66</v>
      </c>
      <c r="E153" s="728">
        <f>N141/1000/100</f>
        <v>0.53661270280677931</v>
      </c>
      <c r="F153" s="704" t="s">
        <v>4</v>
      </c>
      <c r="G153" s="696"/>
      <c r="H153" s="702"/>
      <c r="I153" s="696"/>
      <c r="J153" s="696"/>
      <c r="K153" s="696"/>
      <c r="L153" s="696"/>
      <c r="M153" s="678"/>
    </row>
    <row r="154" spans="1:22" ht="22.15" hidden="1" customHeight="1">
      <c r="A154" s="1626" t="s">
        <v>235</v>
      </c>
      <c r="B154" s="1626"/>
      <c r="C154" s="1626"/>
      <c r="D154" s="701" t="s">
        <v>67</v>
      </c>
      <c r="E154" s="699">
        <f>N21</f>
        <v>1</v>
      </c>
      <c r="F154" s="704" t="s">
        <v>0</v>
      </c>
      <c r="G154" s="696" t="s">
        <v>794</v>
      </c>
      <c r="H154" s="733">
        <f>F94</f>
        <v>0.05</v>
      </c>
      <c r="I154" s="696" t="s">
        <v>0</v>
      </c>
      <c r="J154" s="696"/>
      <c r="K154" s="696"/>
      <c r="L154" s="696"/>
      <c r="M154" s="678"/>
    </row>
    <row r="155" spans="1:22" ht="22.15" hidden="1" customHeight="1">
      <c r="A155" s="704"/>
      <c r="B155" s="696"/>
      <c r="C155" s="696"/>
      <c r="D155" s="701" t="s">
        <v>68</v>
      </c>
      <c r="E155" s="699">
        <f>N22</f>
        <v>0.5</v>
      </c>
      <c r="F155" s="704" t="s">
        <v>0</v>
      </c>
      <c r="G155" s="696" t="s">
        <v>69</v>
      </c>
      <c r="H155" s="733">
        <f>E155-H154</f>
        <v>0.45</v>
      </c>
      <c r="I155" s="696" t="s">
        <v>0</v>
      </c>
      <c r="J155" s="696"/>
      <c r="K155" s="696"/>
      <c r="L155" s="696"/>
      <c r="M155" s="678"/>
    </row>
    <row r="156" spans="1:22" ht="22.15" hidden="1" customHeight="1">
      <c r="A156" s="704"/>
      <c r="B156" s="1653" t="s">
        <v>795</v>
      </c>
      <c r="C156" s="1653"/>
      <c r="D156" s="701" t="s">
        <v>66</v>
      </c>
      <c r="E156" s="702">
        <f>+E152</f>
        <v>8.1886737008980983</v>
      </c>
      <c r="F156" s="704" t="s">
        <v>4</v>
      </c>
      <c r="G156" s="696"/>
      <c r="H156" s="696"/>
      <c r="I156" s="696"/>
      <c r="J156" s="696"/>
      <c r="K156" s="696"/>
      <c r="L156" s="696"/>
      <c r="M156" s="678"/>
    </row>
    <row r="157" spans="1:22" ht="22.15" hidden="1" customHeight="1">
      <c r="A157" s="704"/>
      <c r="B157" s="696"/>
      <c r="C157" s="696"/>
      <c r="D157" s="716" t="s">
        <v>798</v>
      </c>
      <c r="E157" s="733">
        <f>E152/($E$59*$E$154*$H$155^2)</f>
        <v>3.5163386799347704E-2</v>
      </c>
      <c r="F157" s="704" t="s">
        <v>19</v>
      </c>
      <c r="G157" s="696"/>
      <c r="H157" s="696"/>
      <c r="I157" s="696"/>
      <c r="J157" s="696"/>
      <c r="K157" s="696"/>
      <c r="L157" s="696"/>
      <c r="M157" s="678"/>
    </row>
    <row r="158" spans="1:22" ht="22.15" hidden="1" customHeight="1">
      <c r="A158" s="704"/>
      <c r="B158" s="696"/>
      <c r="C158" s="696"/>
      <c r="D158" s="716" t="s">
        <v>799</v>
      </c>
      <c r="E158" s="719">
        <f>0.5*(1+SQRT(1-2*E157))</f>
        <v>0.98209781849778799</v>
      </c>
      <c r="F158" s="704"/>
      <c r="G158" s="696"/>
      <c r="H158" s="696"/>
      <c r="I158" s="696"/>
      <c r="J158" s="696"/>
      <c r="K158" s="696"/>
      <c r="L158" s="696"/>
      <c r="M158" s="678"/>
    </row>
    <row r="159" spans="1:22" ht="22.15" hidden="1" customHeight="1">
      <c r="A159" s="704"/>
      <c r="B159" s="696"/>
      <c r="C159" s="701" t="s">
        <v>773</v>
      </c>
      <c r="D159" s="699">
        <f>+E156/($K$59*E158*$H$155)*10^4</f>
        <v>5.2939308156541198</v>
      </c>
      <c r="E159" s="696" t="s">
        <v>20</v>
      </c>
      <c r="F159" s="696"/>
      <c r="G159" s="696"/>
      <c r="H159" s="696"/>
      <c r="I159" s="696"/>
      <c r="J159" s="696"/>
      <c r="K159" s="696"/>
      <c r="L159" s="696"/>
      <c r="M159" s="678"/>
    </row>
    <row r="160" spans="1:22" ht="22.15" hidden="1" customHeight="1">
      <c r="A160" s="704"/>
      <c r="B160" s="737" t="s">
        <v>238</v>
      </c>
      <c r="C160" s="737"/>
      <c r="D160" s="701" t="s">
        <v>66</v>
      </c>
      <c r="E160" s="702">
        <f>+ABS(E153)</f>
        <v>0.53661270280677931</v>
      </c>
      <c r="F160" s="704" t="s">
        <v>4</v>
      </c>
      <c r="G160" s="696"/>
      <c r="H160" s="696"/>
      <c r="I160" s="696"/>
      <c r="J160" s="696"/>
      <c r="K160" s="696"/>
      <c r="L160" s="696"/>
      <c r="M160" s="678"/>
    </row>
    <row r="161" spans="1:15" ht="22.15" hidden="1" customHeight="1">
      <c r="A161" s="704"/>
      <c r="B161" s="696"/>
      <c r="C161" s="696"/>
      <c r="D161" s="716" t="s">
        <v>798</v>
      </c>
      <c r="E161" s="733">
        <f>E160/($E$59*$E$154*$H$155^2)</f>
        <v>2.3042950201042586E-3</v>
      </c>
      <c r="F161" s="696" t="s">
        <v>19</v>
      </c>
      <c r="G161" s="696"/>
      <c r="H161" s="696"/>
      <c r="I161" s="696"/>
      <c r="J161" s="696"/>
      <c r="K161" s="696"/>
      <c r="L161" s="696"/>
      <c r="M161" s="678"/>
    </row>
    <row r="162" spans="1:15" ht="22.15" hidden="1" customHeight="1">
      <c r="A162" s="704"/>
      <c r="B162" s="696"/>
      <c r="C162" s="696"/>
      <c r="D162" s="716" t="s">
        <v>799</v>
      </c>
      <c r="E162" s="719">
        <f>0.5*(1+SQRT(1-2*E161))</f>
        <v>0.99884652197840151</v>
      </c>
      <c r="F162" s="696"/>
      <c r="G162" s="696"/>
      <c r="H162" s="696"/>
      <c r="I162" s="696"/>
      <c r="J162" s="696"/>
      <c r="K162" s="696"/>
      <c r="L162" s="696"/>
      <c r="M162" s="678"/>
    </row>
    <row r="163" spans="1:15" ht="22.15" hidden="1" customHeight="1">
      <c r="A163" s="704"/>
      <c r="B163" s="696"/>
      <c r="C163" s="701" t="s">
        <v>773</v>
      </c>
      <c r="D163" s="719">
        <f>+E160/($K$59*E162*$H$155)*10^4</f>
        <v>0.3410999292441102</v>
      </c>
      <c r="E163" s="696" t="s">
        <v>20</v>
      </c>
      <c r="F163" s="734"/>
      <c r="G163" s="734"/>
      <c r="H163" s="734"/>
      <c r="I163" s="734"/>
      <c r="J163" s="696"/>
      <c r="K163" s="696"/>
      <c r="L163" s="696"/>
      <c r="M163" s="681"/>
    </row>
    <row r="164" spans="1:15" ht="22.15" hidden="1" customHeight="1">
      <c r="A164" s="1626" t="s">
        <v>716</v>
      </c>
      <c r="B164" s="1626"/>
      <c r="C164" s="735">
        <v>18</v>
      </c>
      <c r="D164" s="696" t="s">
        <v>718</v>
      </c>
      <c r="E164" s="711">
        <v>8</v>
      </c>
      <c r="F164" s="718" t="s">
        <v>792</v>
      </c>
      <c r="G164" s="699">
        <f>E164*3.14*((C164/1000)^2)/4*10^4</f>
        <v>20.347199999999997</v>
      </c>
      <c r="H164" s="704" t="s">
        <v>616</v>
      </c>
      <c r="I164" s="696"/>
      <c r="J164" s="696"/>
      <c r="K164" s="696"/>
      <c r="L164" s="696"/>
      <c r="M164" s="678" t="str">
        <f>IF(G164&gt;MAX(D159,D163),"OK","NO")</f>
        <v>OK</v>
      </c>
      <c r="N164" s="258" t="str">
        <f>IF(G164&gt;D159*1.5,"Thép lớn quá","Thép hợp lý")</f>
        <v>Thép lớn quá</v>
      </c>
      <c r="O164" s="258" t="str">
        <f>IF(G164&gt;MAX(D163,D159)*1.1,"Thép hợp lý","Tăng thép lên")</f>
        <v>Thép hợp lý</v>
      </c>
    </row>
    <row r="165" spans="1:15" ht="22.15" hidden="1" customHeight="1">
      <c r="A165" s="1626" t="s">
        <v>646</v>
      </c>
      <c r="B165" s="1626"/>
      <c r="C165" s="696" t="s">
        <v>80</v>
      </c>
      <c r="D165" s="696">
        <f>ROUND(MAX(D159,D163)/(H155*E154*100*100)*100,2)</f>
        <v>0.12</v>
      </c>
      <c r="E165" s="704" t="s">
        <v>647</v>
      </c>
      <c r="F165" s="699"/>
      <c r="G165" s="696"/>
      <c r="H165" s="696"/>
      <c r="I165" s="696"/>
      <c r="J165" s="696"/>
      <c r="K165" s="696"/>
      <c r="L165" s="696"/>
      <c r="M165" s="678" t="str">
        <f>IF(D165&gt;0.1,"OK","NO")</f>
        <v>OK</v>
      </c>
    </row>
    <row r="166" spans="1:15" ht="22.15" hidden="1" customHeight="1">
      <c r="A166" s="704"/>
      <c r="B166" s="725" t="s">
        <v>277</v>
      </c>
      <c r="C166" s="696"/>
      <c r="D166" s="718"/>
      <c r="E166" s="696"/>
      <c r="F166" s="696"/>
      <c r="G166" s="696"/>
      <c r="H166" s="696"/>
      <c r="I166" s="696"/>
      <c r="J166" s="696"/>
      <c r="K166" s="696"/>
      <c r="L166" s="696"/>
      <c r="M166" s="678"/>
    </row>
    <row r="167" spans="1:15" ht="22.15" hidden="1" customHeight="1">
      <c r="A167" s="704"/>
      <c r="B167" s="700" t="s">
        <v>572</v>
      </c>
      <c r="C167" s="700"/>
      <c r="D167" s="701" t="s">
        <v>796</v>
      </c>
      <c r="E167" s="736">
        <f>IF(O151*1000&gt;F168,O151*0.3,O151)</f>
        <v>4.6259999999999994</v>
      </c>
      <c r="F167" s="704" t="s">
        <v>3</v>
      </c>
      <c r="G167" s="696"/>
      <c r="H167" s="696"/>
      <c r="I167" s="696"/>
      <c r="J167" s="696"/>
      <c r="K167" s="696"/>
      <c r="L167" s="696"/>
      <c r="M167" s="678"/>
    </row>
    <row r="168" spans="1:15" ht="22.15" hidden="1" customHeight="1">
      <c r="A168" s="704"/>
      <c r="B168" s="704" t="s">
        <v>569</v>
      </c>
      <c r="C168" s="696"/>
      <c r="D168" s="696"/>
      <c r="E168" s="696"/>
      <c r="F168" s="701">
        <f>ROUND(1.25*0.5*E60*E154*H155,2)</f>
        <v>25.31</v>
      </c>
      <c r="G168" s="704" t="s">
        <v>3</v>
      </c>
      <c r="H168" s="696"/>
      <c r="I168" s="696"/>
      <c r="J168" s="696"/>
      <c r="K168" s="696"/>
      <c r="L168" s="696"/>
      <c r="M168" s="678" t="str">
        <f>IF(F168&gt;E167,"OK","NO")</f>
        <v>OK</v>
      </c>
    </row>
    <row r="169" spans="1:15" ht="22.15" hidden="1" customHeight="1">
      <c r="A169" s="704"/>
      <c r="B169" s="704" t="s">
        <v>797</v>
      </c>
      <c r="C169" s="704" t="s">
        <v>573</v>
      </c>
      <c r="D169" s="696"/>
      <c r="E169" s="696"/>
      <c r="F169" s="696"/>
      <c r="G169" s="696"/>
      <c r="H169" s="696"/>
      <c r="I169" s="696"/>
      <c r="J169" s="696"/>
      <c r="K169" s="696"/>
      <c r="L169" s="696"/>
      <c r="M169" s="678"/>
    </row>
    <row r="170" spans="1:15" ht="22.15" customHeight="1">
      <c r="A170" s="713" t="s">
        <v>574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702">
        <f>+ROUND(C173,2)</f>
        <v>20.99</v>
      </c>
      <c r="L170" s="704" t="s">
        <v>3</v>
      </c>
      <c r="M170" s="678"/>
    </row>
    <row r="171" spans="1:15" ht="22.15" customHeight="1">
      <c r="A171" s="704"/>
      <c r="B171" s="695" t="s">
        <v>244</v>
      </c>
      <c r="C171" s="696"/>
      <c r="D171" s="696"/>
      <c r="E171" s="696"/>
      <c r="F171" s="696"/>
      <c r="G171" s="696"/>
      <c r="H171" s="696"/>
      <c r="I171" s="696"/>
      <c r="J171" s="696"/>
      <c r="K171" s="696"/>
      <c r="L171" s="696"/>
      <c r="M171" s="678" t="s">
        <v>590</v>
      </c>
    </row>
    <row r="172" spans="1:15" ht="22.15" customHeight="1">
      <c r="A172" s="704"/>
      <c r="B172" s="704" t="s">
        <v>575</v>
      </c>
      <c r="C172" s="696"/>
      <c r="D172" s="696"/>
      <c r="E172" s="696"/>
      <c r="F172" s="704" t="s">
        <v>241</v>
      </c>
      <c r="G172" s="696"/>
      <c r="H172" s="696"/>
      <c r="I172" s="696"/>
      <c r="J172" s="729">
        <f>+ROUND(C174,2)</f>
        <v>2.63</v>
      </c>
      <c r="K172" s="704" t="s">
        <v>3</v>
      </c>
      <c r="L172" s="696"/>
      <c r="M172" s="678" t="s">
        <v>876</v>
      </c>
      <c r="N172" s="257">
        <f>SQRT(C37^2+D37^2)</f>
        <v>1.1499999999999999</v>
      </c>
      <c r="O172" s="704" t="s">
        <v>3</v>
      </c>
    </row>
    <row r="173" spans="1:15" ht="22.15" customHeight="1">
      <c r="A173" s="704"/>
      <c r="B173" s="701" t="s">
        <v>77</v>
      </c>
      <c r="C173" s="699">
        <f>C43</f>
        <v>20.9922</v>
      </c>
      <c r="D173" s="704" t="s">
        <v>3</v>
      </c>
      <c r="E173" s="696"/>
      <c r="F173" s="701" t="s">
        <v>73</v>
      </c>
      <c r="G173" s="699">
        <f>K23</f>
        <v>1</v>
      </c>
      <c r="H173" s="704" t="s">
        <v>0</v>
      </c>
      <c r="I173" s="696"/>
      <c r="L173" s="696"/>
      <c r="M173" s="678" t="s">
        <v>152</v>
      </c>
      <c r="N173" s="257">
        <f>N172*G175</f>
        <v>3.4499999999999997</v>
      </c>
      <c r="O173" s="704" t="s">
        <v>4</v>
      </c>
    </row>
    <row r="174" spans="1:15" ht="22.15" customHeight="1">
      <c r="A174" s="704"/>
      <c r="B174" s="701" t="s">
        <v>78</v>
      </c>
      <c r="C174" s="699">
        <f>+F43</f>
        <v>2.6336561373877192</v>
      </c>
      <c r="D174" s="704" t="s">
        <v>3</v>
      </c>
      <c r="E174" s="696"/>
      <c r="F174" s="701" t="s">
        <v>68</v>
      </c>
      <c r="G174" s="702">
        <f>+G173</f>
        <v>1</v>
      </c>
      <c r="H174" s="704" t="s">
        <v>0</v>
      </c>
      <c r="I174" s="696"/>
      <c r="J174" s="696"/>
      <c r="K174" s="696"/>
      <c r="L174" s="696"/>
      <c r="M174" s="678"/>
    </row>
    <row r="175" spans="1:15" ht="22.15" customHeight="1">
      <c r="A175" s="704"/>
      <c r="B175" s="704" t="s">
        <v>900</v>
      </c>
      <c r="C175" s="696"/>
      <c r="D175" s="704"/>
      <c r="E175" s="696"/>
      <c r="F175" s="701" t="s">
        <v>74</v>
      </c>
      <c r="G175" s="699">
        <f>(K18-K20)</f>
        <v>3</v>
      </c>
      <c r="H175" s="704" t="s">
        <v>0</v>
      </c>
      <c r="I175" s="696"/>
      <c r="J175" s="696"/>
      <c r="K175" s="738"/>
      <c r="L175" s="1625">
        <f>G175</f>
        <v>3</v>
      </c>
      <c r="M175" s="678"/>
    </row>
    <row r="176" spans="1:15" ht="22.15" customHeight="1">
      <c r="A176" s="704"/>
      <c r="B176" s="701" t="s">
        <v>66</v>
      </c>
      <c r="C176" s="699">
        <f>J172*G175</f>
        <v>7.89</v>
      </c>
      <c r="D176" s="704" t="s">
        <v>4</v>
      </c>
      <c r="E176" s="696"/>
      <c r="F176" s="701" t="s">
        <v>179</v>
      </c>
      <c r="G176" s="1177">
        <v>0.05</v>
      </c>
      <c r="H176" s="704" t="s">
        <v>0</v>
      </c>
      <c r="I176" s="696"/>
      <c r="J176" s="696"/>
      <c r="K176" s="738"/>
      <c r="L176" s="1625"/>
      <c r="M176" s="678"/>
    </row>
    <row r="177" spans="1:13" ht="22.15" customHeight="1">
      <c r="A177" s="704"/>
      <c r="B177" s="701" t="s">
        <v>800</v>
      </c>
      <c r="C177" s="699">
        <f>+C173*0.8</f>
        <v>16.793760000000002</v>
      </c>
      <c r="D177" s="704" t="s">
        <v>3</v>
      </c>
      <c r="E177" s="696"/>
      <c r="F177" s="701" t="s">
        <v>69</v>
      </c>
      <c r="G177" s="696">
        <f>G174-G176</f>
        <v>0.95</v>
      </c>
      <c r="H177" s="704" t="s">
        <v>0</v>
      </c>
      <c r="I177" s="696"/>
      <c r="J177" s="696"/>
      <c r="K177" s="738"/>
      <c r="L177" s="696"/>
      <c r="M177" s="678"/>
    </row>
    <row r="178" spans="1:13" ht="22.15" customHeight="1">
      <c r="A178" s="704"/>
      <c r="B178" s="701" t="s">
        <v>801</v>
      </c>
      <c r="C178" s="699">
        <f>+C176*0.8</f>
        <v>6.3120000000000003</v>
      </c>
      <c r="D178" s="704" t="s">
        <v>4</v>
      </c>
      <c r="E178" s="696"/>
      <c r="F178" s="696"/>
      <c r="G178" s="696"/>
      <c r="H178" s="696"/>
      <c r="I178" s="696"/>
      <c r="J178" s="696"/>
      <c r="K178" s="738"/>
      <c r="L178" s="696"/>
      <c r="M178" s="678"/>
    </row>
    <row r="179" spans="1:13" ht="22.15" customHeight="1">
      <c r="A179" s="704"/>
      <c r="B179" s="704" t="s">
        <v>243</v>
      </c>
      <c r="C179" s="696"/>
      <c r="D179" s="704"/>
      <c r="E179" s="704" t="s">
        <v>245</v>
      </c>
      <c r="F179" s="696"/>
      <c r="G179" s="704"/>
      <c r="H179" s="704" t="s">
        <v>802</v>
      </c>
      <c r="I179" s="696"/>
      <c r="J179" s="704"/>
      <c r="K179" s="700" t="s">
        <v>495</v>
      </c>
      <c r="L179" s="696"/>
      <c r="M179" s="678"/>
    </row>
    <row r="180" spans="1:13" ht="22.15" customHeight="1">
      <c r="A180" s="704"/>
      <c r="B180" s="701" t="s">
        <v>803</v>
      </c>
      <c r="C180" s="696">
        <f>ROUND(MAX(G173/30,G175/600,0.01),2)</f>
        <v>0.03</v>
      </c>
      <c r="D180" s="704" t="s">
        <v>0</v>
      </c>
      <c r="E180" s="701" t="s">
        <v>804</v>
      </c>
      <c r="F180" s="699">
        <f>C176*100000/(C173*1000)/100</f>
        <v>0.37585388858718949</v>
      </c>
      <c r="G180" s="704" t="s">
        <v>0</v>
      </c>
      <c r="H180" s="701" t="s">
        <v>805</v>
      </c>
      <c r="I180" s="702">
        <f>+F180+C180</f>
        <v>0.40585388858718952</v>
      </c>
      <c r="J180" s="704" t="s">
        <v>0</v>
      </c>
      <c r="K180" s="701" t="s">
        <v>806</v>
      </c>
      <c r="L180" s="699">
        <f>+I180/G174</f>
        <v>0.40585388858718952</v>
      </c>
      <c r="M180" s="678"/>
    </row>
    <row r="181" spans="1:13" ht="22.15" customHeight="1">
      <c r="A181" s="704"/>
      <c r="B181" s="704"/>
      <c r="C181" s="702">
        <f>2*G175/G174</f>
        <v>6</v>
      </c>
      <c r="D181" s="704" t="str">
        <f>IF(C181&gt;8,"&gt; 8, cần xét đến ảnh hưởng của uốn dọc", "&lt; 8, bỏ qua ảnh hưởng của uốn dọc, 𝜂 = 1")</f>
        <v>&lt; 8, bỏ qua ảnh hưởng của uốn dọc, 𝜂 = 1</v>
      </c>
      <c r="E181" s="701"/>
      <c r="F181" s="719"/>
      <c r="G181" s="696"/>
      <c r="H181" s="696"/>
      <c r="I181" s="696"/>
      <c r="J181" s="696"/>
      <c r="K181" s="696"/>
      <c r="L181" s="696"/>
      <c r="M181" s="678"/>
    </row>
    <row r="182" spans="1:13" ht="22.15" hidden="1" customHeight="1" outlineLevel="1">
      <c r="A182" s="704"/>
      <c r="B182" s="700" t="s">
        <v>249</v>
      </c>
      <c r="C182" s="696" t="s">
        <v>80</v>
      </c>
      <c r="D182" s="739">
        <v>2E-3</v>
      </c>
      <c r="E182" s="696"/>
      <c r="F182" s="696"/>
      <c r="G182" s="696"/>
      <c r="H182" s="696"/>
      <c r="I182" s="696"/>
      <c r="J182" s="696"/>
      <c r="K182" s="696"/>
      <c r="L182" s="696"/>
      <c r="M182" s="678"/>
    </row>
    <row r="183" spans="1:13" ht="22.15" hidden="1" customHeight="1" outlineLevel="1">
      <c r="A183" s="704"/>
      <c r="B183" s="700" t="s">
        <v>81</v>
      </c>
      <c r="C183" s="696" t="s">
        <v>877</v>
      </c>
      <c r="D183" s="719">
        <f>+D182*G173*G177*(0.5*G174-G176)^2</f>
        <v>3.8475E-4</v>
      </c>
      <c r="E183" s="704" t="s">
        <v>807</v>
      </c>
      <c r="F183" s="1585" t="s">
        <v>878</v>
      </c>
      <c r="G183" s="1585"/>
      <c r="I183" s="701" t="s">
        <v>879</v>
      </c>
      <c r="J183" s="696">
        <v>0.7</v>
      </c>
      <c r="K183" s="696"/>
      <c r="L183" s="696"/>
      <c r="M183" s="678"/>
    </row>
    <row r="184" spans="1:13" ht="22.15" hidden="1" customHeight="1" outlineLevel="1">
      <c r="A184" s="704"/>
      <c r="B184" s="696"/>
      <c r="C184" s="696" t="s">
        <v>880</v>
      </c>
      <c r="D184" s="719">
        <f>+(G173*G174^3)/12</f>
        <v>8.3333333333333329E-2</v>
      </c>
      <c r="E184" s="704" t="s">
        <v>807</v>
      </c>
      <c r="F184" s="696" t="s">
        <v>881</v>
      </c>
      <c r="G184" s="696"/>
      <c r="I184" s="1173" t="s">
        <v>882</v>
      </c>
      <c r="J184" s="1174">
        <f>IF((1+N173/C176)&gt;2,2,1+N173/C176)</f>
        <v>1.4372623574144487</v>
      </c>
      <c r="L184" s="1175"/>
      <c r="M184" s="678"/>
    </row>
    <row r="185" spans="1:13" ht="22.15" hidden="1" customHeight="1" outlineLevel="1">
      <c r="A185" s="704"/>
      <c r="B185" s="696"/>
      <c r="C185" s="696" t="s">
        <v>883</v>
      </c>
      <c r="D185" s="696">
        <f>VLOOKUP(J58,'Bảng tra'!$I$3:$M$6,5,0)*100</f>
        <v>20000000</v>
      </c>
      <c r="E185" s="704" t="s">
        <v>10</v>
      </c>
      <c r="F185" s="696"/>
      <c r="G185" s="696"/>
      <c r="H185" s="696"/>
      <c r="I185" s="701" t="s">
        <v>884</v>
      </c>
      <c r="J185" s="733">
        <f>0.15/(J184*(0.3+L180))</f>
        <v>0.1478564913398332</v>
      </c>
      <c r="K185" s="696"/>
      <c r="L185" s="696"/>
      <c r="M185" s="678"/>
    </row>
    <row r="186" spans="1:13" ht="22.15" hidden="1" customHeight="1" outlineLevel="1">
      <c r="A186" s="704"/>
      <c r="B186" s="696"/>
      <c r="C186" s="696" t="s">
        <v>885</v>
      </c>
      <c r="D186" s="696">
        <f>VLOOKUP(E58,'Bảng tra'!$B$3:$F$13,5,0)*100</f>
        <v>2750000</v>
      </c>
      <c r="E186" s="704" t="s">
        <v>10</v>
      </c>
      <c r="F186" s="696"/>
      <c r="G186" s="696"/>
      <c r="H186" s="704" t="s">
        <v>886</v>
      </c>
      <c r="J186" s="696">
        <f>J185*D186*D184+J183*D185*D183</f>
        <v>39270.279265378442</v>
      </c>
      <c r="K186" s="704" t="s">
        <v>887</v>
      </c>
      <c r="L186" s="696"/>
      <c r="M186" s="678"/>
    </row>
    <row r="187" spans="1:13" ht="22.15" hidden="1" customHeight="1" outlineLevel="1">
      <c r="A187" s="704"/>
      <c r="B187" s="696"/>
      <c r="C187" s="696"/>
      <c r="D187" s="696"/>
      <c r="E187" s="704"/>
      <c r="F187" s="696"/>
      <c r="G187" s="696"/>
      <c r="H187" s="704"/>
      <c r="J187" s="696"/>
      <c r="K187" s="704"/>
      <c r="L187" s="696"/>
      <c r="M187" s="678"/>
    </row>
    <row r="188" spans="1:13" ht="22.15" hidden="1" customHeight="1" outlineLevel="1">
      <c r="A188" s="700"/>
      <c r="B188" s="700"/>
      <c r="C188" s="700" t="s">
        <v>250</v>
      </c>
      <c r="D188" s="696"/>
      <c r="E188" s="701" t="s">
        <v>888</v>
      </c>
      <c r="F188" s="699">
        <f>PI()^2*J186/(2*G175)^2</f>
        <v>10766.170029710756</v>
      </c>
      <c r="G188" s="704" t="s">
        <v>3</v>
      </c>
      <c r="H188" s="704" t="s">
        <v>576</v>
      </c>
      <c r="I188" s="696"/>
      <c r="J188" s="716" t="s">
        <v>889</v>
      </c>
      <c r="K188" s="718" t="s">
        <v>6</v>
      </c>
      <c r="L188" s="740">
        <f>IF(C181&lt;8,1,1/(1-C173/F188))</f>
        <v>1</v>
      </c>
      <c r="M188" s="678"/>
    </row>
    <row r="189" spans="1:13" ht="22.15" hidden="1" customHeight="1" outlineLevel="1">
      <c r="A189" s="704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78"/>
    </row>
    <row r="190" spans="1:13" ht="22.15" customHeight="1" collapsed="1">
      <c r="A190" s="704"/>
      <c r="B190" s="700" t="s">
        <v>252</v>
      </c>
      <c r="C190" s="700"/>
      <c r="D190" s="701" t="s">
        <v>75</v>
      </c>
      <c r="E190" s="702">
        <f>+L188*I180+G174/2-G176</f>
        <v>0.85585388858718947</v>
      </c>
      <c r="F190" s="704" t="s">
        <v>0</v>
      </c>
      <c r="G190" s="704" t="s">
        <v>808</v>
      </c>
      <c r="H190" s="696"/>
      <c r="I190" s="696"/>
      <c r="J190" s="696"/>
      <c r="K190" s="696"/>
      <c r="L190" s="696"/>
      <c r="M190" s="678"/>
    </row>
    <row r="191" spans="1:13" ht="22.15" customHeight="1">
      <c r="A191" s="704"/>
      <c r="B191" s="696"/>
      <c r="C191" s="696"/>
      <c r="D191" s="701" t="s">
        <v>76</v>
      </c>
      <c r="E191" s="702">
        <f>ABS(L188*I180-G174/2+G176)</f>
        <v>4.4146111412810482E-2</v>
      </c>
      <c r="F191" s="704" t="s">
        <v>0</v>
      </c>
      <c r="G191" s="704" t="s">
        <v>809</v>
      </c>
      <c r="H191" s="696"/>
      <c r="I191" s="696"/>
      <c r="J191" s="696"/>
      <c r="K191" s="696"/>
      <c r="L191" s="696"/>
      <c r="M191" s="678"/>
    </row>
    <row r="192" spans="1:13" ht="22.15" customHeight="1">
      <c r="A192" s="704"/>
      <c r="B192" s="700" t="s">
        <v>253</v>
      </c>
      <c r="C192" s="700"/>
      <c r="D192" s="701" t="s">
        <v>85</v>
      </c>
      <c r="E192" s="719">
        <f>+C173/(E59*G173)</f>
        <v>1.825408695652174E-2</v>
      </c>
      <c r="F192" s="704" t="s">
        <v>0</v>
      </c>
      <c r="G192" s="696"/>
      <c r="H192" s="702"/>
      <c r="I192" s="696"/>
      <c r="J192" s="696"/>
      <c r="K192" s="696"/>
      <c r="L192" s="696"/>
      <c r="M192" s="678"/>
    </row>
    <row r="193" spans="1:18" ht="22.15" customHeight="1">
      <c r="A193" s="704"/>
      <c r="B193" s="696"/>
      <c r="C193" s="696"/>
      <c r="D193" s="696" t="s">
        <v>810</v>
      </c>
      <c r="E193" s="702">
        <f>0.62*G177</f>
        <v>0.58899999999999997</v>
      </c>
      <c r="F193" s="704" t="s">
        <v>0</v>
      </c>
      <c r="G193" s="718" t="s">
        <v>64</v>
      </c>
      <c r="H193" s="696" t="str">
        <f>+IF(E192&lt;=E193,"x &lt; αoho ","x &gt; αoho")</f>
        <v xml:space="preserve">x &lt; αoho </v>
      </c>
      <c r="I193" s="696"/>
      <c r="J193" s="696"/>
      <c r="K193" s="696"/>
      <c r="L193" s="696"/>
      <c r="M193" s="678"/>
    </row>
    <row r="194" spans="1:18" ht="22.15" customHeight="1">
      <c r="A194" s="704"/>
      <c r="B194" s="696"/>
      <c r="C194" s="718" t="s">
        <v>64</v>
      </c>
      <c r="D194" s="704" t="str">
        <f>+IF(E192&lt;=E193,"Xảy ra trường hợp nén lệch tâm lớn","Xảy ra trường hợp nén lệch tâm bé ")</f>
        <v>Xảy ra trường hợp nén lệch tâm lớn</v>
      </c>
      <c r="E194" s="702"/>
      <c r="F194" s="696"/>
      <c r="G194" s="741"/>
      <c r="H194" s="702"/>
      <c r="I194" s="696"/>
      <c r="J194" s="696"/>
      <c r="K194" s="696"/>
      <c r="L194" s="696"/>
      <c r="M194" s="678"/>
    </row>
    <row r="195" spans="1:18" ht="22.15" customHeight="1">
      <c r="A195" s="696"/>
      <c r="B195" s="707" t="s">
        <v>254</v>
      </c>
      <c r="C195" s="718"/>
      <c r="D195" s="696"/>
      <c r="E195" s="702"/>
      <c r="F195" s="696"/>
      <c r="G195" s="696"/>
      <c r="H195" s="702"/>
      <c r="I195" s="696"/>
      <c r="J195" s="696"/>
      <c r="K195" s="408"/>
      <c r="L195" s="718"/>
      <c r="M195" s="678"/>
      <c r="N195" s="257"/>
      <c r="Q195" s="257"/>
      <c r="R195" s="257"/>
    </row>
    <row r="196" spans="1:18" ht="22.15" customHeight="1">
      <c r="A196" s="704"/>
      <c r="B196" s="696"/>
      <c r="C196" s="696" t="str">
        <f>+IF(E192&gt;2*G176,"x &gt; 2a' ==&gt;","x &lt; 2a' ==&gt;")</f>
        <v>x &lt; 2a' ==&gt;</v>
      </c>
      <c r="D196" s="704" t="str">
        <f>+IF(E192&gt;2*G176,"Fa = F'a = N(e-ho+0.5x)/(R'a(ho-a'))","Fa = F'a = Ne'/(Ra(ho-a'))")</f>
        <v>Fa = F'a = Ne'/(Ra(ho-a'))</v>
      </c>
      <c r="E196" s="702"/>
      <c r="F196" s="696"/>
      <c r="G196" s="696"/>
      <c r="H196" s="702"/>
      <c r="I196" s="696"/>
      <c r="J196" s="696"/>
      <c r="K196" s="696"/>
      <c r="L196" s="696"/>
      <c r="M196" s="678"/>
      <c r="N196" s="257"/>
      <c r="Q196" s="257"/>
      <c r="R196" s="257"/>
    </row>
    <row r="197" spans="1:18" ht="22.15" customHeight="1">
      <c r="A197" s="704"/>
      <c r="B197" s="696"/>
      <c r="C197" s="696"/>
      <c r="D197" s="696" t="s">
        <v>811</v>
      </c>
      <c r="E197" s="702">
        <f>+IF(E192&gt;2*G176,C173*(E190-G177+0.5*E192)/($K$59*(G177-G176)),C173*E191/($K$59*(G177-G176)))*10^4</f>
        <v>0.29419809523809537</v>
      </c>
      <c r="F197" s="696" t="s">
        <v>20</v>
      </c>
      <c r="G197" s="696"/>
      <c r="H197" s="702"/>
      <c r="I197" s="696"/>
      <c r="K197" s="758"/>
      <c r="L197" s="696"/>
      <c r="M197" s="678"/>
      <c r="N197" s="257"/>
      <c r="Q197" s="257"/>
      <c r="R197" s="257"/>
    </row>
    <row r="198" spans="1:18" ht="19.899999999999999" hidden="1" customHeight="1">
      <c r="A198" s="704"/>
      <c r="B198" s="742" t="s">
        <v>255</v>
      </c>
      <c r="C198" s="743" t="s">
        <v>87</v>
      </c>
      <c r="D198" s="744">
        <f>+E197*2/(G173*G177)</f>
        <v>0.61936441102756923</v>
      </c>
      <c r="E198" s="745" t="s">
        <v>256</v>
      </c>
      <c r="F198" s="742"/>
      <c r="G198" s="746" t="s">
        <v>80</v>
      </c>
      <c r="H198" s="744">
        <f>+D198/2+D182/2</f>
        <v>0.31068220551378462</v>
      </c>
      <c r="I198" s="696"/>
      <c r="J198" s="696"/>
      <c r="K198" s="696"/>
      <c r="L198" s="718"/>
      <c r="M198" s="430"/>
      <c r="N198" s="431"/>
      <c r="P198" s="257"/>
      <c r="Q198" s="430"/>
      <c r="R198" s="430"/>
    </row>
    <row r="199" spans="1:18" ht="19.899999999999999" hidden="1" customHeight="1">
      <c r="A199" s="704"/>
      <c r="B199" s="747" t="s">
        <v>257</v>
      </c>
      <c r="C199" s="748"/>
      <c r="D199" s="749"/>
      <c r="E199" s="750"/>
      <c r="F199" s="749"/>
      <c r="G199" s="749"/>
      <c r="H199" s="750"/>
      <c r="I199" s="696"/>
      <c r="J199" s="696"/>
      <c r="K199" s="408"/>
      <c r="L199" s="718"/>
      <c r="N199" s="257"/>
      <c r="Q199" s="257"/>
      <c r="R199" s="257"/>
    </row>
    <row r="200" spans="1:18" ht="19.899999999999999" hidden="1" customHeight="1">
      <c r="A200" s="704"/>
      <c r="B200" s="749" t="s">
        <v>258</v>
      </c>
      <c r="C200" s="749"/>
      <c r="D200" s="749" t="e">
        <f>+#REF!</f>
        <v>#REF!</v>
      </c>
      <c r="E200" s="750"/>
      <c r="F200" s="749"/>
      <c r="G200" s="749"/>
      <c r="H200" s="750"/>
      <c r="I200" s="696"/>
      <c r="J200" s="696"/>
      <c r="K200" s="696"/>
      <c r="L200" s="696"/>
      <c r="N200" s="257"/>
      <c r="Q200" s="257"/>
      <c r="R200" s="257"/>
    </row>
    <row r="201" spans="1:18" ht="19.899999999999999" hidden="1" customHeight="1">
      <c r="A201" s="704"/>
      <c r="B201" s="749" t="s">
        <v>223</v>
      </c>
      <c r="C201" s="749"/>
      <c r="D201" s="696" t="e">
        <f>IF(D200="AI",2250,IF(D200="AII",2800,IF(D200="AIII",3650,"Nhóm cốt thép")))</f>
        <v>#REF!</v>
      </c>
      <c r="E201" s="750" t="s">
        <v>65</v>
      </c>
      <c r="F201" s="749"/>
      <c r="G201" s="749"/>
      <c r="H201" s="750"/>
      <c r="I201" s="696"/>
      <c r="J201" s="696"/>
      <c r="K201" s="696"/>
      <c r="L201" s="696"/>
      <c r="N201" s="257"/>
      <c r="Q201" s="257"/>
      <c r="R201" s="257"/>
    </row>
    <row r="202" spans="1:18" ht="19.899999999999999" hidden="1" customHeight="1">
      <c r="A202" s="704"/>
      <c r="B202" s="749"/>
      <c r="C202" s="749" t="s">
        <v>812</v>
      </c>
      <c r="D202" s="749">
        <f>0.4*(1.25*G174-0.62*G177)</f>
        <v>0.26440000000000002</v>
      </c>
      <c r="E202" s="750" t="s">
        <v>18</v>
      </c>
      <c r="F202" s="749" t="s">
        <v>813</v>
      </c>
      <c r="G202" s="749"/>
      <c r="H202" s="750"/>
      <c r="I202" s="696"/>
      <c r="J202" s="696"/>
      <c r="K202" s="696"/>
      <c r="L202" s="696"/>
      <c r="N202" s="257"/>
      <c r="Q202" s="257"/>
      <c r="R202" s="257"/>
    </row>
    <row r="203" spans="1:18" ht="19.899999999999999" hidden="1" customHeight="1">
      <c r="A203" s="704"/>
      <c r="B203" s="749"/>
      <c r="C203" s="749" t="s">
        <v>814</v>
      </c>
      <c r="D203" s="751">
        <f>+L188*I180</f>
        <v>0.40585388858718952</v>
      </c>
      <c r="E203" s="750" t="s">
        <v>18</v>
      </c>
      <c r="F203" s="749"/>
      <c r="G203" s="749"/>
      <c r="H203" s="750"/>
      <c r="I203" s="696"/>
      <c r="J203" s="696"/>
      <c r="K203" s="696"/>
      <c r="L203" s="696"/>
      <c r="M203" s="370"/>
      <c r="N203" s="257"/>
      <c r="Q203" s="257"/>
      <c r="R203" s="257"/>
    </row>
    <row r="204" spans="1:18" ht="19.899999999999999" hidden="1" customHeight="1">
      <c r="A204" s="704"/>
      <c r="B204" s="749"/>
      <c r="C204" s="749" t="s">
        <v>815</v>
      </c>
      <c r="D204" s="751">
        <f>0.2*G177</f>
        <v>0.19</v>
      </c>
      <c r="E204" s="750" t="s">
        <v>18</v>
      </c>
      <c r="F204" s="749"/>
      <c r="G204" s="750"/>
      <c r="H204" s="752"/>
      <c r="I204" s="696"/>
      <c r="J204" s="696"/>
      <c r="K204" s="696"/>
      <c r="L204" s="696"/>
      <c r="M204" s="370"/>
      <c r="N204" s="257"/>
      <c r="P204" s="257"/>
      <c r="Q204" s="430"/>
      <c r="R204" s="430"/>
    </row>
    <row r="205" spans="1:18" ht="19.899999999999999" hidden="1" customHeight="1">
      <c r="A205" s="704"/>
      <c r="B205" s="749" t="s">
        <v>88</v>
      </c>
      <c r="C205" s="749" t="str">
        <f>+IF(D203&lt;=D204," ηeo &lt;0.2ho ","ηeo &gt; 0.2ho ")</f>
        <v xml:space="preserve">ηeo &gt; 0.2ho </v>
      </c>
      <c r="D205" s="748" t="s">
        <v>64</v>
      </c>
      <c r="E205" s="748" t="str">
        <f>+IF(D203&lt;=D204,"x' = h-(1.8+0.5h/ho-1.4αo)ηαo","x' = 1.8(eogh-ηeo)+αoho")</f>
        <v>x' = 1.8(eogh-ηeo)+αoho</v>
      </c>
      <c r="F205" s="749"/>
      <c r="G205" s="750"/>
      <c r="H205" s="752"/>
      <c r="I205" s="696"/>
      <c r="J205" s="696"/>
      <c r="K205" s="696"/>
      <c r="L205" s="696"/>
      <c r="M205" s="429"/>
      <c r="N205" s="429"/>
      <c r="P205" s="257"/>
      <c r="Q205" s="430"/>
      <c r="R205" s="430"/>
    </row>
    <row r="206" spans="1:18" ht="19.899999999999999" hidden="1" customHeight="1">
      <c r="A206" s="704"/>
      <c r="B206" s="749"/>
      <c r="C206" s="749" t="s">
        <v>89</v>
      </c>
      <c r="D206" s="753">
        <f>+IF(D203&lt;=D204,G174-(1.8+0.5*G174/G177-1.4*0.62)*L188*I180,1.8*(D202-D203)+0.62*G177)</f>
        <v>0.33438300054305886</v>
      </c>
      <c r="E206" s="750" t="s">
        <v>18</v>
      </c>
      <c r="F206" s="749"/>
      <c r="G206" s="750"/>
      <c r="H206" s="752"/>
      <c r="I206" s="696"/>
      <c r="J206" s="696"/>
      <c r="K206" s="696"/>
      <c r="L206" s="696"/>
      <c r="M206" s="432"/>
      <c r="N206" s="257"/>
      <c r="P206" s="257"/>
      <c r="Q206" s="430"/>
      <c r="R206" s="430"/>
    </row>
    <row r="207" spans="1:18" ht="19.899999999999999" hidden="1" customHeight="1">
      <c r="A207" s="704"/>
      <c r="B207" s="749" t="s">
        <v>90</v>
      </c>
      <c r="C207" s="1651" t="s">
        <v>91</v>
      </c>
      <c r="D207" s="1652" t="s">
        <v>92</v>
      </c>
      <c r="E207" s="1652"/>
      <c r="F207" s="749"/>
      <c r="G207" s="750"/>
      <c r="H207" s="752"/>
      <c r="I207" s="696"/>
      <c r="J207" s="696"/>
      <c r="K207" s="696"/>
      <c r="L207" s="1586"/>
      <c r="M207" s="1598"/>
      <c r="N207" s="1598"/>
      <c r="P207" s="257"/>
      <c r="Q207" s="430"/>
      <c r="R207" s="430"/>
    </row>
    <row r="208" spans="1:18" ht="19.899999999999999" hidden="1" customHeight="1">
      <c r="A208" s="704"/>
      <c r="B208" s="749"/>
      <c r="C208" s="1651"/>
      <c r="D208" s="1619" t="s">
        <v>93</v>
      </c>
      <c r="E208" s="1619"/>
      <c r="F208" s="749"/>
      <c r="G208" s="750"/>
      <c r="H208" s="752"/>
      <c r="I208" s="696"/>
      <c r="J208" s="696"/>
      <c r="K208" s="696"/>
      <c r="L208" s="1586"/>
      <c r="M208" s="1598"/>
      <c r="N208" s="1598"/>
      <c r="P208" s="257"/>
      <c r="Q208" s="430"/>
      <c r="R208" s="430"/>
    </row>
    <row r="209" spans="1:18" ht="19.899999999999999" hidden="1" customHeight="1">
      <c r="A209" s="704"/>
      <c r="B209" s="749"/>
      <c r="C209" s="749" t="s">
        <v>91</v>
      </c>
      <c r="D209" s="754" t="e">
        <f>+(C173*1000*E190-E59*G173*D206*(G177-0.5*D206))/(D201*(G177-G176))</f>
        <v>#REF!</v>
      </c>
      <c r="E209" s="749" t="s">
        <v>20</v>
      </c>
      <c r="F209" s="750"/>
      <c r="G209" s="750"/>
      <c r="H209" s="750"/>
      <c r="I209" s="696"/>
      <c r="J209" s="696"/>
      <c r="K209" s="696"/>
      <c r="L209" s="696"/>
      <c r="M209" s="370"/>
      <c r="O209" s="257"/>
      <c r="P209" s="257"/>
      <c r="Q209" s="257"/>
      <c r="R209" s="257"/>
    </row>
    <row r="210" spans="1:18" ht="19.899999999999999" hidden="1" customHeight="1">
      <c r="A210" s="704"/>
      <c r="B210" s="749"/>
      <c r="C210" s="748" t="s">
        <v>87</v>
      </c>
      <c r="D210" s="752" t="e">
        <f>+D209*2/(G173*G177)</f>
        <v>#REF!</v>
      </c>
      <c r="E210" s="755" t="s">
        <v>256</v>
      </c>
      <c r="F210" s="749"/>
      <c r="G210" s="750" t="s">
        <v>80</v>
      </c>
      <c r="H210" s="752" t="e">
        <f>+D210/2+D182/2</f>
        <v>#REF!</v>
      </c>
      <c r="I210" s="696"/>
      <c r="J210" s="696"/>
      <c r="K210" s="696"/>
      <c r="L210" s="718"/>
      <c r="M210" s="430"/>
      <c r="N210" s="431"/>
      <c r="P210" s="257"/>
      <c r="Q210" s="430"/>
      <c r="R210" s="430"/>
    </row>
    <row r="211" spans="1:18" ht="19.899999999999999" hidden="1" customHeight="1">
      <c r="A211" s="704"/>
      <c r="B211" s="749"/>
      <c r="C211" s="748"/>
      <c r="D211" s="752"/>
      <c r="E211" s="755"/>
      <c r="F211" s="749"/>
      <c r="G211" s="750"/>
      <c r="H211" s="752"/>
      <c r="I211" s="696"/>
      <c r="J211" s="696"/>
      <c r="K211" s="696"/>
      <c r="L211" s="718"/>
      <c r="M211" s="430"/>
      <c r="N211" s="431"/>
      <c r="P211" s="257"/>
      <c r="Q211" s="430"/>
      <c r="R211" s="430"/>
    </row>
    <row r="212" spans="1:18" ht="19.899999999999999" hidden="1" customHeight="1">
      <c r="A212" s="704"/>
      <c r="B212" s="749"/>
      <c r="C212" s="748"/>
      <c r="D212" s="752"/>
      <c r="E212" s="755"/>
      <c r="F212" s="749"/>
      <c r="G212" s="750"/>
      <c r="H212" s="752"/>
      <c r="I212" s="696"/>
      <c r="J212" s="696"/>
      <c r="K212" s="696"/>
      <c r="L212" s="718"/>
      <c r="M212" s="430"/>
      <c r="N212" s="431"/>
      <c r="P212" s="257"/>
      <c r="Q212" s="430"/>
      <c r="R212" s="430"/>
    </row>
    <row r="213" spans="1:18" ht="19.899999999999999" hidden="1" customHeight="1">
      <c r="A213" s="704"/>
      <c r="B213" s="749"/>
      <c r="C213" s="748"/>
      <c r="D213" s="752"/>
      <c r="E213" s="755"/>
      <c r="F213" s="749"/>
      <c r="G213" s="750"/>
      <c r="H213" s="752"/>
      <c r="I213" s="696"/>
      <c r="J213" s="696"/>
      <c r="K213" s="696"/>
      <c r="L213" s="718"/>
      <c r="M213" s="430"/>
      <c r="N213" s="431"/>
      <c r="P213" s="257"/>
      <c r="Q213" s="430"/>
      <c r="R213" s="430"/>
    </row>
    <row r="214" spans="1:18" ht="19.899999999999999" hidden="1" customHeight="1">
      <c r="A214" s="704"/>
      <c r="B214" s="749"/>
      <c r="C214" s="748"/>
      <c r="D214" s="752"/>
      <c r="E214" s="755"/>
      <c r="F214" s="749"/>
      <c r="G214" s="750"/>
      <c r="H214" s="752"/>
      <c r="I214" s="696"/>
      <c r="J214" s="696"/>
      <c r="K214" s="696"/>
      <c r="L214" s="718"/>
      <c r="M214" s="430"/>
      <c r="N214" s="431"/>
      <c r="P214" s="257"/>
      <c r="Q214" s="430"/>
      <c r="R214" s="430"/>
    </row>
    <row r="215" spans="1:18" ht="22.15" customHeight="1">
      <c r="A215" s="704"/>
      <c r="B215" s="695" t="s">
        <v>259</v>
      </c>
      <c r="C215" s="696"/>
      <c r="D215" s="696"/>
      <c r="E215" s="696"/>
      <c r="F215" s="696"/>
      <c r="G215" s="696"/>
      <c r="H215" s="696"/>
      <c r="I215" s="696"/>
      <c r="J215" s="696"/>
      <c r="K215" s="708" t="str">
        <f>+ROUND(C217,2) &amp;" (T)"</f>
        <v>17.91 (T)</v>
      </c>
      <c r="L215" s="696"/>
    </row>
    <row r="216" spans="1:18" ht="22.15" customHeight="1">
      <c r="A216" s="704"/>
      <c r="B216" s="757" t="s">
        <v>575</v>
      </c>
      <c r="C216" s="696"/>
      <c r="D216" s="696"/>
      <c r="E216" s="696"/>
      <c r="F216" s="696"/>
      <c r="G216" s="696"/>
      <c r="H216" s="696"/>
      <c r="I216" s="696"/>
    </row>
    <row r="217" spans="1:18" ht="22.15" customHeight="1">
      <c r="A217" s="704"/>
      <c r="B217" s="696" t="s">
        <v>77</v>
      </c>
      <c r="C217" s="702">
        <f>C44</f>
        <v>17.914300000000001</v>
      </c>
      <c r="D217" s="696" t="s">
        <v>3</v>
      </c>
      <c r="E217" s="696"/>
      <c r="F217" s="696"/>
      <c r="G217" s="696"/>
      <c r="H217" s="696"/>
      <c r="J217" s="704" t="str">
        <f>ROUND(J172,2)&amp;" (T)"</f>
        <v>2.63 (T)</v>
      </c>
      <c r="K217" s="696"/>
      <c r="L217" s="696"/>
    </row>
    <row r="218" spans="1:18" ht="22.15" customHeight="1">
      <c r="A218" s="704"/>
      <c r="B218" s="696" t="s">
        <v>78</v>
      </c>
      <c r="C218" s="702">
        <f>+F44</f>
        <v>2.199740771090994</v>
      </c>
      <c r="D218" s="696" t="s">
        <v>3</v>
      </c>
      <c r="E218" s="696"/>
      <c r="F218" s="696"/>
      <c r="G218" s="696"/>
      <c r="H218" s="696"/>
      <c r="I218" s="696"/>
      <c r="K218" s="1630">
        <f>L175</f>
        <v>3</v>
      </c>
      <c r="L218" s="696"/>
    </row>
    <row r="219" spans="1:18" ht="22.15" customHeight="1">
      <c r="A219" s="704"/>
      <c r="B219" s="704" t="s">
        <v>242</v>
      </c>
      <c r="C219" s="696"/>
      <c r="D219" s="696"/>
      <c r="E219" s="696"/>
      <c r="F219" s="696"/>
      <c r="G219" s="696"/>
      <c r="H219" s="696"/>
      <c r="I219" s="696"/>
      <c r="K219" s="1630"/>
      <c r="L219" s="696"/>
    </row>
    <row r="220" spans="1:18" ht="22.15" customHeight="1">
      <c r="A220" s="704"/>
      <c r="B220" s="696" t="s">
        <v>66</v>
      </c>
      <c r="C220" s="728">
        <f>+C218*G175</f>
        <v>6.5992223132729819</v>
      </c>
      <c r="D220" s="696" t="s">
        <v>4</v>
      </c>
      <c r="E220" s="696"/>
      <c r="F220" s="696"/>
      <c r="G220" s="696"/>
      <c r="K220" s="1630"/>
      <c r="L220" s="696"/>
    </row>
    <row r="221" spans="1:18" ht="22.15" customHeight="1">
      <c r="A221" s="704"/>
      <c r="B221" s="704" t="s">
        <v>260</v>
      </c>
      <c r="C221" s="696" t="s">
        <v>94</v>
      </c>
      <c r="D221" s="699">
        <f>+C220/C217</f>
        <v>0.36837734732995325</v>
      </c>
      <c r="E221" s="696" t="s">
        <v>0</v>
      </c>
      <c r="F221" s="696" t="s">
        <v>95</v>
      </c>
      <c r="G221" s="696"/>
      <c r="H221" s="696"/>
      <c r="I221" s="696"/>
      <c r="K221" s="1630"/>
      <c r="L221" s="696"/>
    </row>
    <row r="222" spans="1:18" ht="22.15" customHeight="1">
      <c r="A222" s="704"/>
      <c r="B222" s="696"/>
      <c r="C222" s="696" t="s">
        <v>96</v>
      </c>
      <c r="D222" s="696">
        <f>0.5*G174-G176</f>
        <v>0.45</v>
      </c>
      <c r="E222" s="696" t="s">
        <v>0</v>
      </c>
      <c r="F222" s="696"/>
      <c r="G222" s="696"/>
      <c r="H222" s="696"/>
      <c r="I222" s="696"/>
      <c r="K222" s="1630"/>
      <c r="L222" s="696"/>
    </row>
    <row r="223" spans="1:18" ht="22.15" customHeight="1">
      <c r="A223" s="704"/>
      <c r="B223" s="696"/>
      <c r="C223" s="718" t="s">
        <v>64</v>
      </c>
      <c r="D223" s="704" t="str">
        <f>+IF(D221&lt;=D222,"eo &lt; 0.5h-a  Lệch tâm bé","eo &gt; ho-a  Lệch tâm lớn")</f>
        <v>eo &lt; 0.5h-a  Lệch tâm bé</v>
      </c>
      <c r="E223" s="696"/>
      <c r="F223" s="696"/>
      <c r="G223" s="696"/>
      <c r="H223" s="696"/>
      <c r="J223" s="1586" t="s">
        <v>495</v>
      </c>
      <c r="K223" s="1586"/>
      <c r="L223" s="696"/>
    </row>
    <row r="224" spans="1:18" ht="19.899999999999999" hidden="1" customHeight="1">
      <c r="A224" s="704"/>
      <c r="B224" s="696"/>
      <c r="C224" s="696"/>
      <c r="D224" s="696"/>
      <c r="E224" s="696"/>
      <c r="F224" s="696"/>
      <c r="G224" s="696"/>
      <c r="H224" s="696"/>
      <c r="I224" s="696"/>
      <c r="J224" s="696"/>
      <c r="K224" s="696"/>
      <c r="L224" s="696"/>
    </row>
    <row r="225" spans="1:15" ht="22.15" customHeight="1">
      <c r="A225" s="704"/>
      <c r="B225" s="707" t="s">
        <v>261</v>
      </c>
      <c r="C225" s="696"/>
      <c r="D225" s="696"/>
      <c r="E225" s="696"/>
      <c r="F225" s="696"/>
      <c r="G225" s="707" t="s">
        <v>264</v>
      </c>
      <c r="H225" s="696"/>
      <c r="I225" s="696"/>
      <c r="J225" s="696"/>
      <c r="K225" s="696"/>
      <c r="L225" s="696"/>
    </row>
    <row r="226" spans="1:15" ht="22.15" customHeight="1">
      <c r="A226" s="704"/>
      <c r="B226" s="701" t="s">
        <v>97</v>
      </c>
      <c r="C226" s="699">
        <f>0.5*G174-D221-G176</f>
        <v>8.1622652670046744E-2</v>
      </c>
      <c r="D226" s="704" t="s">
        <v>18</v>
      </c>
      <c r="E226" s="704" t="s">
        <v>104</v>
      </c>
      <c r="F226" s="696"/>
      <c r="G226" s="701" t="s">
        <v>97</v>
      </c>
      <c r="H226" s="699">
        <f>+D221-0.5*G174+G176</f>
        <v>-8.1622652670046744E-2</v>
      </c>
      <c r="I226" s="704" t="s">
        <v>18</v>
      </c>
      <c r="J226" s="1585" t="s">
        <v>106</v>
      </c>
      <c r="K226" s="1585"/>
      <c r="L226" s="696"/>
    </row>
    <row r="227" spans="1:15" ht="22.15" customHeight="1">
      <c r="A227" s="704"/>
      <c r="B227" s="701" t="s">
        <v>98</v>
      </c>
      <c r="C227" s="699">
        <f>0.5*G174+D221-G176</f>
        <v>0.81837734732995315</v>
      </c>
      <c r="D227" s="704" t="s">
        <v>18</v>
      </c>
      <c r="E227" s="704" t="s">
        <v>105</v>
      </c>
      <c r="F227" s="696"/>
      <c r="G227" s="701" t="s">
        <v>98</v>
      </c>
      <c r="H227" s="699">
        <f>+D221+0.5*G177-G176</f>
        <v>0.79337734732995324</v>
      </c>
      <c r="I227" s="704" t="s">
        <v>18</v>
      </c>
      <c r="J227" s="1585" t="s">
        <v>108</v>
      </c>
      <c r="K227" s="1585"/>
      <c r="L227" s="696"/>
    </row>
    <row r="228" spans="1:15" ht="22.15" customHeight="1">
      <c r="A228" s="704"/>
      <c r="B228" s="1626" t="s">
        <v>816</v>
      </c>
      <c r="C228" s="756" t="s">
        <v>100</v>
      </c>
      <c r="D228" s="1586" t="s">
        <v>6</v>
      </c>
      <c r="E228" s="1587">
        <f>+C217*C226/($K$59*(G177-G176))*10^4</f>
        <v>0.46419450372286303</v>
      </c>
      <c r="F228" s="1585" t="s">
        <v>20</v>
      </c>
      <c r="G228" s="1626" t="s">
        <v>817</v>
      </c>
      <c r="H228" s="756" t="s">
        <v>102</v>
      </c>
      <c r="I228" s="1586" t="s">
        <v>6</v>
      </c>
      <c r="J228" s="1587">
        <f>+C217*H227/($K$59*(G177-G176))*10^4</f>
        <v>4.5119999407215818</v>
      </c>
      <c r="K228" s="1585" t="s">
        <v>648</v>
      </c>
      <c r="L228" s="696"/>
    </row>
    <row r="229" spans="1:15" ht="22.15" customHeight="1">
      <c r="A229" s="704"/>
      <c r="B229" s="1626"/>
      <c r="C229" s="696" t="s">
        <v>93</v>
      </c>
      <c r="D229" s="1586"/>
      <c r="E229" s="1587"/>
      <c r="F229" s="1585"/>
      <c r="G229" s="1626"/>
      <c r="H229" s="696" t="s">
        <v>109</v>
      </c>
      <c r="I229" s="1586"/>
      <c r="J229" s="1587"/>
      <c r="K229" s="1585"/>
      <c r="L229" s="696"/>
    </row>
    <row r="230" spans="1:15" ht="22.15" customHeight="1">
      <c r="A230" s="704"/>
      <c r="B230" s="1626" t="s">
        <v>818</v>
      </c>
      <c r="C230" s="756" t="s">
        <v>102</v>
      </c>
      <c r="D230" s="1586" t="s">
        <v>6</v>
      </c>
      <c r="E230" s="1587">
        <f>+C217*C227/($K$59*(G177-G176))*1.05*10^4</f>
        <v>4.8868857710909941</v>
      </c>
      <c r="F230" s="1585" t="s">
        <v>648</v>
      </c>
      <c r="G230" s="734"/>
      <c r="H230" s="734"/>
      <c r="I230" s="734"/>
      <c r="J230" s="734"/>
      <c r="K230" s="696"/>
      <c r="L230" s="696"/>
    </row>
    <row r="231" spans="1:15" ht="22.15" customHeight="1">
      <c r="A231" s="704"/>
      <c r="B231" s="1626"/>
      <c r="C231" s="696" t="s">
        <v>103</v>
      </c>
      <c r="D231" s="1586"/>
      <c r="E231" s="1587"/>
      <c r="F231" s="1585"/>
      <c r="G231" s="734"/>
      <c r="H231" s="734"/>
      <c r="I231" s="734"/>
      <c r="J231" s="734"/>
      <c r="K231" s="696"/>
      <c r="L231" s="696"/>
      <c r="M231" s="678"/>
    </row>
    <row r="232" spans="1:15" ht="22.15" customHeight="1">
      <c r="A232" s="1626" t="s">
        <v>716</v>
      </c>
      <c r="B232" s="1626"/>
      <c r="C232" s="735">
        <v>20</v>
      </c>
      <c r="D232" s="696" t="s">
        <v>718</v>
      </c>
      <c r="E232" s="711">
        <v>10</v>
      </c>
      <c r="F232" s="718" t="s">
        <v>774</v>
      </c>
      <c r="G232" s="699">
        <f>E232*3.14*((C232/1000)^2)/4*10^4</f>
        <v>31.400000000000006</v>
      </c>
      <c r="H232" s="704" t="s">
        <v>616</v>
      </c>
      <c r="I232" s="696"/>
      <c r="J232" s="696"/>
      <c r="K232" s="696"/>
      <c r="L232" s="696"/>
      <c r="M232" s="678" t="str">
        <f>IF(G232&gt;MAX(J228,E230,E228,E197),"OK","NO")</f>
        <v>OK</v>
      </c>
      <c r="N232" s="258" t="str">
        <f>IF(G232&gt;MAX(J228,E230,E228,E197)*1.4,"Thép lớn quá","Thép hợp lý")</f>
        <v>Thép lớn quá</v>
      </c>
      <c r="O232" s="258" t="str">
        <f>IF(G232&gt;MAX(E228,J228,E230,E197)*1.05,"Thép hợp lý","Tăng thép lên")</f>
        <v>Thép hợp lý</v>
      </c>
    </row>
    <row r="233" spans="1:15" ht="22.15" customHeight="1">
      <c r="A233" s="1626" t="s">
        <v>646</v>
      </c>
      <c r="B233" s="1626"/>
      <c r="C233" s="696" t="s">
        <v>80</v>
      </c>
      <c r="D233" s="696">
        <f>ROUND(2*MAX(E197,E228,E230,J228)/(G177*G173*100*100)*100,2)</f>
        <v>0.1</v>
      </c>
      <c r="E233" s="704" t="s">
        <v>647</v>
      </c>
      <c r="F233" s="699"/>
      <c r="G233" s="696"/>
      <c r="H233" s="696"/>
      <c r="I233" s="696"/>
      <c r="J233" s="696"/>
      <c r="K233" s="696"/>
      <c r="L233" s="696"/>
      <c r="M233" s="678" t="str">
        <f>IF(D233&gt;0.1,"OK","NO")</f>
        <v>NO</v>
      </c>
    </row>
    <row r="234" spans="1:15" ht="22.15" customHeight="1">
      <c r="A234" s="713" t="s">
        <v>578</v>
      </c>
      <c r="B234" s="696"/>
      <c r="C234" s="696"/>
      <c r="D234" s="696"/>
      <c r="E234" s="696"/>
      <c r="F234" s="700"/>
      <c r="G234" s="696"/>
      <c r="H234" s="696"/>
      <c r="I234" s="696"/>
      <c r="J234" s="696"/>
      <c r="K234" s="696"/>
      <c r="L234" s="696"/>
      <c r="M234" s="678"/>
    </row>
    <row r="235" spans="1:15" ht="22.15" customHeight="1">
      <c r="A235" s="704"/>
      <c r="B235" s="700" t="s">
        <v>262</v>
      </c>
      <c r="C235" s="702">
        <f>+C174</f>
        <v>2.6336561373877192</v>
      </c>
      <c r="D235" s="696" t="s">
        <v>3</v>
      </c>
      <c r="E235" s="696"/>
      <c r="F235" s="696"/>
      <c r="G235" s="696"/>
      <c r="H235" s="696"/>
      <c r="I235" s="696"/>
      <c r="J235" s="696"/>
      <c r="K235" s="696"/>
      <c r="L235" s="696"/>
      <c r="M235" s="678"/>
    </row>
    <row r="236" spans="1:15" ht="22.15" customHeight="1">
      <c r="A236" s="704"/>
      <c r="B236" s="704" t="s">
        <v>577</v>
      </c>
      <c r="C236" s="696"/>
      <c r="D236" s="696"/>
      <c r="E236" s="696"/>
      <c r="G236" s="702">
        <f>1.25*0.5*$E$60*G173*G177</f>
        <v>53.4375</v>
      </c>
      <c r="H236" s="696" t="s">
        <v>3</v>
      </c>
      <c r="K236" s="696"/>
      <c r="L236" s="696"/>
      <c r="M236" s="678" t="str">
        <f>IF(G236&gt;C235,"OK","NO")</f>
        <v>OK</v>
      </c>
    </row>
    <row r="237" spans="1:15" ht="19.899999999999999" customHeight="1">
      <c r="A237" s="704"/>
      <c r="B237" s="704" t="s">
        <v>819</v>
      </c>
      <c r="C237" s="704" t="s">
        <v>573</v>
      </c>
      <c r="D237" s="696"/>
      <c r="E237" s="696"/>
      <c r="F237" s="696"/>
      <c r="G237" s="696"/>
      <c r="H237" s="696"/>
      <c r="I237" s="696"/>
      <c r="J237" s="696"/>
      <c r="K237" s="696"/>
      <c r="L237" s="696"/>
      <c r="M237" s="678"/>
    </row>
    <row r="238" spans="1:15" ht="19.899999999999999" hidden="1" customHeight="1">
      <c r="A238" s="691"/>
      <c r="B238" s="693"/>
      <c r="C238" s="692"/>
      <c r="D238" s="692"/>
      <c r="E238" s="692"/>
      <c r="F238" s="692"/>
      <c r="G238" s="692"/>
      <c r="H238" s="692"/>
      <c r="I238" s="692"/>
      <c r="J238" s="692"/>
      <c r="K238" s="692"/>
      <c r="L238" s="692"/>
      <c r="M238" s="678"/>
    </row>
    <row r="239" spans="1:15" ht="19.899999999999999" hidden="1" customHeight="1">
      <c r="A239" s="691"/>
      <c r="B239" s="692"/>
      <c r="C239" s="692"/>
      <c r="D239" s="692"/>
      <c r="E239" s="694"/>
      <c r="F239" s="692"/>
      <c r="G239" s="692"/>
      <c r="H239" s="692"/>
      <c r="I239" s="692"/>
      <c r="J239" s="692"/>
      <c r="K239" s="692"/>
      <c r="L239" s="692"/>
      <c r="M239" s="678"/>
    </row>
    <row r="240" spans="1:15" ht="19.899999999999999" customHeight="1">
      <c r="A240" s="691"/>
      <c r="B240" s="692"/>
      <c r="C240" s="692"/>
      <c r="D240" s="692"/>
      <c r="E240" s="692"/>
      <c r="F240" s="692"/>
      <c r="G240" s="692"/>
      <c r="H240" s="692"/>
      <c r="I240" s="692"/>
      <c r="J240" s="692"/>
      <c r="K240" s="692"/>
      <c r="L240" s="692"/>
      <c r="M240" s="678"/>
    </row>
    <row r="241" spans="1:22" ht="19.899999999999999" customHeight="1">
      <c r="I241" s="400"/>
    </row>
    <row r="242" spans="1:22" ht="19.899999999999999" customHeight="1">
      <c r="A242" s="666"/>
      <c r="B242" s="433"/>
      <c r="C242" s="433"/>
      <c r="D242" s="433"/>
      <c r="E242" s="433"/>
      <c r="F242" s="433"/>
      <c r="G242" s="433"/>
      <c r="H242" s="433"/>
      <c r="I242" s="433"/>
      <c r="J242" s="433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</row>
    <row r="243" spans="1:22" ht="19.899999999999999" customHeight="1">
      <c r="A243" s="666"/>
      <c r="B243" s="433"/>
      <c r="C243" s="433"/>
      <c r="D243" s="433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</row>
    <row r="244" spans="1:22" ht="19.899999999999999" customHeight="1">
      <c r="A244" s="666"/>
      <c r="B244" s="433"/>
      <c r="C244" s="433"/>
      <c r="D244" s="433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</row>
    <row r="245" spans="1:22" ht="19.899999999999999" customHeight="1">
      <c r="A245" s="666"/>
      <c r="B245" s="433"/>
      <c r="C245" s="433"/>
      <c r="D245" s="433"/>
      <c r="E245" s="433"/>
      <c r="F245" s="433"/>
      <c r="G245" s="433"/>
      <c r="H245" s="433"/>
      <c r="I245" s="433"/>
      <c r="J245" s="433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</row>
    <row r="246" spans="1:22" ht="19.899999999999999" customHeight="1">
      <c r="A246" s="666"/>
      <c r="B246" s="433"/>
      <c r="C246" s="433"/>
      <c r="D246" s="433"/>
      <c r="E246" s="433"/>
      <c r="F246" s="433"/>
      <c r="G246" s="433"/>
      <c r="H246" s="433"/>
      <c r="I246" s="433"/>
      <c r="J246" s="433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</row>
    <row r="247" spans="1:22" ht="19.899999999999999" customHeight="1">
      <c r="A247" s="666"/>
      <c r="B247" s="433"/>
      <c r="C247" s="433"/>
      <c r="D247" s="433"/>
      <c r="E247" s="433"/>
      <c r="F247" s="433"/>
      <c r="G247" s="433"/>
      <c r="H247" s="433"/>
      <c r="I247" s="433"/>
      <c r="J247" s="433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</row>
    <row r="248" spans="1:22" ht="19.899999999999999" customHeight="1">
      <c r="A248" s="666"/>
      <c r="B248" s="433"/>
      <c r="C248" s="433"/>
      <c r="D248" s="433"/>
      <c r="E248" s="433"/>
      <c r="F248" s="433"/>
      <c r="G248" s="433"/>
      <c r="H248" s="433"/>
      <c r="I248" s="433"/>
      <c r="J248" s="433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</row>
    <row r="249" spans="1:22" ht="19.899999999999999" customHeight="1">
      <c r="A249" s="666"/>
      <c r="B249" s="433"/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</row>
    <row r="250" spans="1:22" ht="19.899999999999999" customHeight="1">
      <c r="A250" s="666"/>
      <c r="B250" s="433"/>
      <c r="C250" s="433"/>
      <c r="D250" s="433"/>
      <c r="E250" s="433"/>
      <c r="F250" s="433"/>
      <c r="G250" s="433"/>
      <c r="H250" s="433"/>
      <c r="I250" s="433"/>
      <c r="J250" s="433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</row>
    <row r="251" spans="1:22" ht="19.899999999999999" customHeight="1">
      <c r="A251" s="666"/>
      <c r="B251" s="433"/>
      <c r="C251" s="433"/>
      <c r="D251" s="433"/>
      <c r="E251" s="433"/>
      <c r="F251" s="433"/>
      <c r="G251" s="433"/>
      <c r="H251" s="433"/>
      <c r="I251" s="433"/>
      <c r="J251" s="433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</row>
    <row r="252" spans="1:22" ht="19.899999999999999" customHeight="1">
      <c r="A252" s="666"/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</row>
    <row r="253" spans="1:22" ht="19.899999999999999" customHeight="1">
      <c r="A253" s="666"/>
      <c r="B253" s="433"/>
      <c r="C253" s="433"/>
      <c r="D253" s="433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</row>
    <row r="254" spans="1:22" ht="19.899999999999999" customHeight="1">
      <c r="A254" s="666"/>
      <c r="B254" s="433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</row>
    <row r="255" spans="1:22" ht="19.899999999999999" customHeight="1">
      <c r="A255" s="666"/>
      <c r="B255" s="433"/>
      <c r="C255" s="433"/>
      <c r="D255" s="433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</row>
    <row r="256" spans="1:22" ht="19.899999999999999" customHeight="1">
      <c r="A256" s="666"/>
      <c r="B256" s="433"/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</row>
    <row r="257" spans="1:22" ht="19.899999999999999" customHeight="1">
      <c r="A257" s="666"/>
      <c r="B257" s="433"/>
      <c r="C257" s="433"/>
      <c r="D257" s="433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</row>
    <row r="258" spans="1:22" ht="19.899999999999999" customHeight="1">
      <c r="A258" s="666"/>
      <c r="B258" s="433"/>
      <c r="C258" s="433"/>
      <c r="D258" s="433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</row>
    <row r="259" spans="1:22" ht="19.899999999999999" customHeight="1">
      <c r="A259" s="666"/>
      <c r="B259" s="433"/>
      <c r="C259" s="433"/>
      <c r="D259" s="433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</row>
    <row r="260" spans="1:22" ht="19.899999999999999" customHeight="1">
      <c r="A260" s="666"/>
      <c r="B260" s="433"/>
      <c r="C260" s="433"/>
      <c r="D260" s="433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</row>
    <row r="261" spans="1:22" ht="19.899999999999999" customHeight="1">
      <c r="A261" s="666"/>
      <c r="B261" s="433"/>
      <c r="C261" s="433"/>
      <c r="D261" s="433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</row>
    <row r="262" spans="1:22" ht="19.899999999999999" customHeight="1">
      <c r="A262" s="666"/>
      <c r="B262" s="433"/>
      <c r="C262" s="433"/>
      <c r="D262" s="433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</row>
    <row r="263" spans="1:22" ht="19.899999999999999" customHeight="1">
      <c r="A263" s="666"/>
      <c r="B263" s="433"/>
      <c r="C263" s="433"/>
      <c r="D263" s="433"/>
      <c r="E263" s="433"/>
      <c r="F263" s="433"/>
      <c r="G263" s="433"/>
      <c r="H263" s="433"/>
      <c r="I263" s="433"/>
      <c r="J263" s="433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</row>
    <row r="264" spans="1:22" ht="19.899999999999999" customHeight="1">
      <c r="A264" s="666"/>
      <c r="B264" s="433"/>
      <c r="C264" s="433"/>
      <c r="D264" s="433"/>
      <c r="E264" s="433"/>
      <c r="F264" s="433"/>
      <c r="G264" s="433"/>
      <c r="H264" s="433"/>
      <c r="I264" s="433"/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</row>
    <row r="265" spans="1:22" ht="19.899999999999999" customHeight="1">
      <c r="A265" s="666"/>
      <c r="B265" s="433"/>
      <c r="C265" s="433"/>
      <c r="D265" s="433"/>
      <c r="E265" s="433"/>
      <c r="F265" s="433"/>
      <c r="G265" s="433"/>
      <c r="H265" s="433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</row>
    <row r="266" spans="1:22" ht="19.899999999999999" customHeight="1">
      <c r="A266" s="666"/>
      <c r="B266" s="433"/>
      <c r="C266" s="433"/>
      <c r="D266" s="433"/>
      <c r="E266" s="433"/>
      <c r="F266" s="433"/>
      <c r="G266" s="433"/>
      <c r="H266" s="433"/>
      <c r="I266" s="433"/>
      <c r="J266" s="433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</row>
    <row r="267" spans="1:22" ht="19.899999999999999" customHeight="1">
      <c r="A267" s="666"/>
      <c r="B267" s="433"/>
      <c r="C267" s="433"/>
      <c r="D267" s="433"/>
      <c r="E267" s="433"/>
      <c r="F267" s="433"/>
      <c r="G267" s="433"/>
      <c r="H267" s="433"/>
      <c r="I267" s="433"/>
      <c r="J267" s="433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</row>
    <row r="268" spans="1:22" ht="19.899999999999999" customHeight="1">
      <c r="A268" s="666"/>
      <c r="B268" s="433"/>
      <c r="C268" s="433"/>
      <c r="D268" s="433"/>
      <c r="E268" s="433"/>
      <c r="F268" s="433"/>
      <c r="G268" s="433"/>
      <c r="H268" s="433"/>
      <c r="I268" s="433"/>
      <c r="J268" s="433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</row>
    <row r="269" spans="1:22" ht="19.899999999999999" customHeight="1">
      <c r="A269" s="666"/>
      <c r="B269" s="433"/>
      <c r="C269" s="433"/>
      <c r="D269" s="433"/>
      <c r="E269" s="433"/>
      <c r="F269" s="433"/>
      <c r="G269" s="433"/>
      <c r="H269" s="433"/>
      <c r="I269" s="433"/>
      <c r="J269" s="433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</row>
    <row r="270" spans="1:22" ht="19.899999999999999" customHeight="1">
      <c r="A270" s="666"/>
      <c r="B270" s="433"/>
      <c r="C270" s="433"/>
      <c r="D270" s="433"/>
      <c r="E270" s="433"/>
      <c r="F270" s="433"/>
      <c r="G270" s="433"/>
      <c r="H270" s="433"/>
      <c r="I270" s="433"/>
      <c r="J270" s="433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</row>
    <row r="271" spans="1:22" ht="19.899999999999999" customHeight="1">
      <c r="A271" s="666"/>
      <c r="B271" s="433"/>
      <c r="C271" s="433"/>
      <c r="D271" s="433"/>
      <c r="E271" s="433"/>
      <c r="F271" s="433"/>
      <c r="G271" s="433"/>
      <c r="H271" s="433"/>
      <c r="I271" s="433"/>
      <c r="J271" s="433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</row>
    <row r="272" spans="1:22" ht="19.899999999999999" customHeight="1">
      <c r="A272" s="666"/>
      <c r="B272" s="433"/>
      <c r="C272" s="433"/>
      <c r="D272" s="433"/>
      <c r="E272" s="433"/>
      <c r="F272" s="433"/>
      <c r="G272" s="433"/>
      <c r="H272" s="433"/>
      <c r="I272" s="433"/>
      <c r="J272" s="433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</row>
    <row r="273" spans="1:41" ht="19.899999999999999" customHeight="1">
      <c r="A273" s="666"/>
      <c r="B273" s="433"/>
      <c r="C273" s="433"/>
      <c r="D273" s="433"/>
      <c r="E273" s="433"/>
      <c r="F273" s="433"/>
      <c r="G273" s="433"/>
      <c r="H273" s="433"/>
      <c r="I273" s="433"/>
      <c r="J273" s="433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</row>
    <row r="274" spans="1:41" ht="19.899999999999999" customHeight="1">
      <c r="A274" s="666"/>
      <c r="B274" s="433"/>
      <c r="C274" s="433"/>
      <c r="D274" s="433"/>
      <c r="E274" s="433"/>
      <c r="F274" s="433"/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</row>
    <row r="275" spans="1:41" ht="19.899999999999999" customHeight="1">
      <c r="A275" s="666"/>
      <c r="B275" s="433"/>
      <c r="C275" s="433"/>
      <c r="D275" s="433"/>
      <c r="E275" s="433"/>
      <c r="F275" s="433"/>
      <c r="G275" s="433"/>
      <c r="H275" s="433"/>
      <c r="I275" s="433"/>
      <c r="J275" s="433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</row>
    <row r="276" spans="1:41" ht="19.899999999999999" customHeight="1">
      <c r="A276" s="666"/>
      <c r="B276" s="433"/>
      <c r="C276" s="433"/>
      <c r="D276" s="433"/>
      <c r="E276" s="433"/>
      <c r="F276" s="433"/>
      <c r="G276" s="433"/>
      <c r="H276" s="433"/>
      <c r="I276" s="433"/>
      <c r="J276" s="433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</row>
    <row r="277" spans="1:41" ht="19.899999999999999" customHeight="1">
      <c r="A277" s="666"/>
      <c r="B277" s="433"/>
      <c r="C277" s="433"/>
      <c r="D277" s="433"/>
      <c r="E277" s="433"/>
      <c r="F277" s="433"/>
      <c r="G277" s="433"/>
      <c r="H277" s="433"/>
      <c r="I277" s="433"/>
      <c r="J277" s="433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</row>
    <row r="278" spans="1:41" ht="19.899999999999999" customHeight="1">
      <c r="A278" s="666"/>
      <c r="B278" s="433"/>
      <c r="C278" s="433"/>
      <c r="D278" s="433"/>
      <c r="E278" s="433"/>
      <c r="F278" s="433"/>
      <c r="G278" s="433"/>
      <c r="H278" s="433"/>
      <c r="I278" s="433"/>
      <c r="J278" s="433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</row>
    <row r="279" spans="1:41" ht="19.899999999999999" customHeight="1">
      <c r="A279" s="666"/>
      <c r="B279" s="433"/>
      <c r="C279" s="433"/>
      <c r="D279" s="433"/>
      <c r="E279" s="433"/>
      <c r="F279" s="433"/>
      <c r="G279" s="433"/>
      <c r="H279" s="433"/>
      <c r="I279" s="433"/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</row>
    <row r="280" spans="1:41" ht="19.899999999999999" customHeight="1">
      <c r="A280" s="666"/>
      <c r="B280" s="433"/>
      <c r="C280" s="433"/>
      <c r="D280" s="433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</row>
    <row r="281" spans="1:41" ht="19.899999999999999" customHeight="1" thickBot="1">
      <c r="A281" s="666"/>
      <c r="B281" s="433"/>
      <c r="C281" s="433"/>
      <c r="D281" s="433"/>
      <c r="E281" s="433"/>
      <c r="F281" s="433"/>
      <c r="G281" s="433"/>
      <c r="H281" s="433"/>
      <c r="I281" s="433"/>
      <c r="J281" s="433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</row>
    <row r="282" spans="1:41" ht="19.899999999999999" customHeight="1" thickBot="1">
      <c r="A282" s="666"/>
      <c r="B282" s="433"/>
      <c r="C282" s="433"/>
      <c r="D282" s="433"/>
      <c r="E282" s="433"/>
      <c r="F282" s="433"/>
      <c r="G282" s="433"/>
      <c r="H282" s="433"/>
      <c r="I282" s="433"/>
      <c r="J282" s="433"/>
      <c r="K282" s="433"/>
      <c r="M282" s="434"/>
      <c r="N282" s="435"/>
      <c r="O282" s="436"/>
      <c r="P282" s="436"/>
      <c r="Q282" s="436"/>
      <c r="R282" s="436"/>
      <c r="S282" s="436"/>
      <c r="T282" s="436"/>
      <c r="U282" s="436"/>
      <c r="V282" s="436"/>
      <c r="W282" s="437" t="s">
        <v>408</v>
      </c>
      <c r="X282" s="437" t="s">
        <v>409</v>
      </c>
      <c r="Y282" s="438" t="s">
        <v>289</v>
      </c>
      <c r="Z282" s="438" t="s">
        <v>410</v>
      </c>
      <c r="AA282" s="1635" t="s">
        <v>411</v>
      </c>
      <c r="AB282" s="1636"/>
      <c r="AC282" s="1637"/>
      <c r="AD282" s="423"/>
      <c r="AE282" s="436"/>
      <c r="AF282" s="436"/>
      <c r="AG282" s="439"/>
      <c r="AH282" s="433"/>
      <c r="AI282" s="433"/>
      <c r="AJ282" s="433"/>
      <c r="AK282" s="433"/>
      <c r="AL282" s="433"/>
      <c r="AM282" s="433"/>
      <c r="AN282" s="433"/>
      <c r="AO282" s="433"/>
    </row>
    <row r="283" spans="1:41" ht="19.899999999999999" customHeight="1">
      <c r="A283" s="666"/>
      <c r="B283" s="433"/>
      <c r="C283" s="433"/>
      <c r="D283" s="433"/>
      <c r="E283" s="433"/>
      <c r="F283" s="433"/>
      <c r="G283" s="433"/>
      <c r="H283" s="433"/>
      <c r="I283" s="433"/>
      <c r="J283" s="433"/>
      <c r="K283" s="433"/>
      <c r="M283" s="440"/>
      <c r="N283" s="441"/>
      <c r="O283" s="433"/>
      <c r="P283" s="441"/>
      <c r="Q283" s="433"/>
      <c r="R283" s="433"/>
      <c r="S283" s="442" t="s">
        <v>422</v>
      </c>
      <c r="T283" s="443"/>
      <c r="U283" s="433"/>
      <c r="V283" s="433"/>
      <c r="W283" s="444"/>
      <c r="X283" s="444"/>
      <c r="Y283" s="445"/>
      <c r="Z283" s="445"/>
      <c r="AA283" s="445" t="s">
        <v>412</v>
      </c>
      <c r="AB283" s="445" t="s">
        <v>413</v>
      </c>
      <c r="AC283" s="445" t="s">
        <v>414</v>
      </c>
      <c r="AE283" s="433"/>
      <c r="AF283" s="433"/>
      <c r="AG283" s="446"/>
      <c r="AH283" s="433"/>
      <c r="AI283" s="433"/>
      <c r="AJ283" s="433"/>
      <c r="AK283" s="433"/>
      <c r="AL283" s="433"/>
      <c r="AM283" s="433"/>
      <c r="AN283" s="433"/>
      <c r="AO283" s="433"/>
    </row>
    <row r="284" spans="1:41" ht="19.899999999999999" customHeight="1" thickBot="1">
      <c r="A284" s="666"/>
      <c r="B284" s="433"/>
      <c r="C284" s="433"/>
      <c r="D284" s="433"/>
      <c r="E284" s="433"/>
      <c r="F284" s="433"/>
      <c r="G284" s="433"/>
      <c r="H284" s="433"/>
      <c r="I284" s="433"/>
      <c r="J284" s="433"/>
      <c r="K284" s="433"/>
      <c r="M284" s="440"/>
      <c r="N284" s="441" t="s">
        <v>287</v>
      </c>
      <c r="O284" s="433"/>
      <c r="P284" s="447" t="str">
        <f>+O286&amp;" - "&amp;O287&amp;" x "&amp;Q287</f>
        <v>2.6 - 5 x 6</v>
      </c>
      <c r="Q284" s="433"/>
      <c r="R284" s="448"/>
      <c r="S284" s="449" t="e">
        <f>+#REF!</f>
        <v>#REF!</v>
      </c>
      <c r="T284" s="450" t="e">
        <f>+#REF!</f>
        <v>#REF!</v>
      </c>
      <c r="U284" s="433"/>
      <c r="V284" s="433"/>
      <c r="W284" s="444">
        <v>160</v>
      </c>
      <c r="X284" s="444">
        <v>140</v>
      </c>
      <c r="Y284" s="451" t="s">
        <v>415</v>
      </c>
      <c r="Z284" s="452">
        <v>21.43</v>
      </c>
      <c r="AA284" s="452">
        <f t="shared" ref="AA284:AA290" si="12">Z284*8</f>
        <v>171.44</v>
      </c>
      <c r="AB284" s="452">
        <f>+AA284*2</f>
        <v>342.88</v>
      </c>
      <c r="AC284" s="452">
        <f>AA284*3</f>
        <v>514.31999999999994</v>
      </c>
      <c r="AE284" s="433"/>
      <c r="AF284" s="433"/>
      <c r="AG284" s="446"/>
      <c r="AH284" s="433"/>
      <c r="AI284" s="433"/>
      <c r="AJ284" s="433"/>
      <c r="AK284" s="433"/>
      <c r="AL284" s="433"/>
      <c r="AM284" s="433"/>
      <c r="AN284" s="433"/>
      <c r="AO284" s="433"/>
    </row>
    <row r="285" spans="1:41" ht="19.899999999999999" customHeight="1" thickBot="1">
      <c r="A285" s="666"/>
      <c r="B285" s="433"/>
      <c r="C285" s="433"/>
      <c r="D285" s="433"/>
      <c r="E285" s="433"/>
      <c r="F285" s="433"/>
      <c r="G285" s="433"/>
      <c r="H285" s="433"/>
      <c r="I285" s="433"/>
      <c r="J285" s="433"/>
      <c r="K285" s="433"/>
      <c r="M285" s="440"/>
      <c r="N285" s="433"/>
      <c r="O285" s="433"/>
      <c r="P285" s="433"/>
      <c r="Q285" s="433"/>
      <c r="R285" s="433"/>
      <c r="S285" s="433"/>
      <c r="T285" s="433"/>
      <c r="U285" s="433"/>
      <c r="V285" s="433"/>
      <c r="W285" s="444"/>
      <c r="X285" s="444"/>
      <c r="Y285" s="451" t="s">
        <v>416</v>
      </c>
      <c r="Z285" s="452">
        <v>21.65</v>
      </c>
      <c r="AA285" s="452">
        <f>Z285*4</f>
        <v>86.6</v>
      </c>
      <c r="AB285" s="452">
        <f t="shared" ref="AB285:AB294" si="13">+AA285*2</f>
        <v>173.2</v>
      </c>
      <c r="AC285" s="452">
        <f t="shared" ref="AC285:AC294" si="14">AA285*3</f>
        <v>259.79999999999995</v>
      </c>
      <c r="AE285" s="433"/>
      <c r="AF285" s="433"/>
      <c r="AG285" s="446"/>
      <c r="AH285" s="433"/>
      <c r="AI285" s="433"/>
      <c r="AJ285" s="433"/>
      <c r="AK285" s="433"/>
      <c r="AL285" s="433"/>
      <c r="AM285" s="433"/>
      <c r="AN285" s="433"/>
      <c r="AO285" s="433"/>
    </row>
    <row r="286" spans="1:41" ht="19.899999999999999" customHeight="1" thickBot="1">
      <c r="A286" s="666"/>
      <c r="B286" s="433"/>
      <c r="C286" s="433"/>
      <c r="D286" s="433"/>
      <c r="E286" s="433"/>
      <c r="F286" s="433"/>
      <c r="G286" s="433"/>
      <c r="H286" s="433"/>
      <c r="I286" s="433"/>
      <c r="J286" s="433"/>
      <c r="K286" s="433"/>
      <c r="M286" s="440"/>
      <c r="N286" s="1605" t="s">
        <v>288</v>
      </c>
      <c r="O286" s="453">
        <f>+K7</f>
        <v>2.6</v>
      </c>
      <c r="P286" s="454" t="s">
        <v>34</v>
      </c>
      <c r="Q286" s="455">
        <f>+O286</f>
        <v>2.6</v>
      </c>
      <c r="R286" s="439" t="s">
        <v>0</v>
      </c>
      <c r="S286" s="433"/>
      <c r="T286" s="21" t="s">
        <v>289</v>
      </c>
      <c r="U286" s="21" t="s">
        <v>290</v>
      </c>
      <c r="V286" s="433"/>
      <c r="W286" s="444">
        <v>180</v>
      </c>
      <c r="X286" s="444">
        <v>160</v>
      </c>
      <c r="Y286" s="451" t="s">
        <v>417</v>
      </c>
      <c r="Z286" s="452">
        <v>30.44</v>
      </c>
      <c r="AA286" s="452">
        <f t="shared" si="12"/>
        <v>243.52</v>
      </c>
      <c r="AB286" s="452">
        <f t="shared" si="13"/>
        <v>487.04</v>
      </c>
      <c r="AC286" s="452">
        <f t="shared" si="14"/>
        <v>730.56000000000006</v>
      </c>
      <c r="AE286" s="433"/>
      <c r="AF286" s="433"/>
      <c r="AG286" s="456"/>
      <c r="AH286" s="433"/>
      <c r="AI286" s="433"/>
      <c r="AJ286" s="433"/>
      <c r="AK286" s="433"/>
      <c r="AL286" s="433"/>
      <c r="AM286" s="433"/>
      <c r="AN286" s="433"/>
      <c r="AO286" s="433"/>
    </row>
    <row r="287" spans="1:41" ht="19.899999999999999" customHeight="1" thickBot="1">
      <c r="A287" s="666"/>
      <c r="B287" s="433"/>
      <c r="C287" s="433"/>
      <c r="D287" s="433"/>
      <c r="E287" s="433"/>
      <c r="F287" s="433"/>
      <c r="G287" s="433"/>
      <c r="H287" s="433"/>
      <c r="I287" s="433"/>
      <c r="J287" s="433"/>
      <c r="K287" s="433"/>
      <c r="M287" s="440"/>
      <c r="N287" s="1606"/>
      <c r="O287" s="453">
        <f>+K10</f>
        <v>5</v>
      </c>
      <c r="P287" s="454" t="s">
        <v>34</v>
      </c>
      <c r="Q287" s="457">
        <f>+K11</f>
        <v>6</v>
      </c>
      <c r="R287" s="446" t="s">
        <v>0</v>
      </c>
      <c r="S287" s="433"/>
      <c r="T287" s="448" t="s">
        <v>406</v>
      </c>
      <c r="U287" s="458">
        <f>+SUMIF(Y284:Y294,T287,AA284:AA294)</f>
        <v>356.16</v>
      </c>
      <c r="V287" s="433"/>
      <c r="W287" s="444"/>
      <c r="X287" s="444"/>
      <c r="Y287" s="451" t="s">
        <v>418</v>
      </c>
      <c r="Z287" s="452">
        <v>30.55</v>
      </c>
      <c r="AA287" s="452">
        <f>Z287*4</f>
        <v>122.2</v>
      </c>
      <c r="AB287" s="452">
        <f t="shared" si="13"/>
        <v>244.4</v>
      </c>
      <c r="AC287" s="452">
        <f t="shared" si="14"/>
        <v>366.6</v>
      </c>
      <c r="AD287" s="433"/>
      <c r="AE287" s="433"/>
      <c r="AF287" s="433"/>
      <c r="AG287" s="459"/>
      <c r="AH287" s="433"/>
      <c r="AI287" s="433"/>
      <c r="AJ287" s="433"/>
      <c r="AK287" s="433"/>
      <c r="AL287" s="433"/>
      <c r="AM287" s="433"/>
      <c r="AN287" s="433"/>
      <c r="AO287" s="433"/>
    </row>
    <row r="288" spans="1:41" ht="19.899999999999999" customHeight="1" thickBot="1">
      <c r="A288" s="666"/>
      <c r="B288" s="433"/>
      <c r="C288" s="433"/>
      <c r="D288" s="433"/>
      <c r="E288" s="433"/>
      <c r="F288" s="433"/>
      <c r="G288" s="433"/>
      <c r="H288" s="433"/>
      <c r="I288" s="433"/>
      <c r="J288" s="433"/>
      <c r="K288" s="433"/>
      <c r="M288" s="440"/>
      <c r="N288" s="1607"/>
      <c r="O288" s="453">
        <f>+K21</f>
        <v>0.3</v>
      </c>
      <c r="P288" s="454" t="s">
        <v>34</v>
      </c>
      <c r="Q288" s="460">
        <f>+O288</f>
        <v>0.3</v>
      </c>
      <c r="R288" s="461" t="s">
        <v>0</v>
      </c>
      <c r="S288" s="462" t="s">
        <v>291</v>
      </c>
      <c r="T288" s="462" t="s">
        <v>292</v>
      </c>
      <c r="U288" s="433"/>
      <c r="V288" s="433"/>
      <c r="W288" s="444">
        <v>200</v>
      </c>
      <c r="X288" s="444">
        <v>180</v>
      </c>
      <c r="Y288" s="451" t="s">
        <v>406</v>
      </c>
      <c r="Z288" s="452">
        <v>44.52</v>
      </c>
      <c r="AA288" s="452">
        <f t="shared" si="12"/>
        <v>356.16</v>
      </c>
      <c r="AB288" s="452">
        <f t="shared" si="13"/>
        <v>712.32</v>
      </c>
      <c r="AC288" s="452">
        <f t="shared" si="14"/>
        <v>1068.48</v>
      </c>
      <c r="AD288" s="433"/>
      <c r="AE288" s="433"/>
      <c r="AF288" s="433"/>
      <c r="AG288" s="463"/>
      <c r="AH288" s="433"/>
      <c r="AI288" s="447"/>
      <c r="AJ288" s="464"/>
      <c r="AK288" s="464"/>
      <c r="AL288" s="464"/>
      <c r="AM288" s="464"/>
      <c r="AN288" s="433"/>
      <c r="AO288" s="433"/>
    </row>
    <row r="289" spans="1:41" ht="19.899999999999999" customHeight="1">
      <c r="A289" s="666"/>
      <c r="B289" s="433"/>
      <c r="C289" s="433"/>
      <c r="D289" s="433"/>
      <c r="E289" s="433"/>
      <c r="F289" s="433"/>
      <c r="G289" s="433"/>
      <c r="H289" s="433"/>
      <c r="I289" s="433"/>
      <c r="J289" s="433"/>
      <c r="K289" s="433"/>
      <c r="M289" s="440"/>
      <c r="N289" s="465" t="s">
        <v>293</v>
      </c>
      <c r="O289" s="466">
        <f>+K20</f>
        <v>0.5</v>
      </c>
      <c r="P289" s="467" t="s">
        <v>0</v>
      </c>
      <c r="Q289" s="468" t="s">
        <v>294</v>
      </c>
      <c r="R289" s="469"/>
      <c r="S289" s="470" t="s">
        <v>295</v>
      </c>
      <c r="T289" s="471" t="s">
        <v>296</v>
      </c>
      <c r="U289" s="433"/>
      <c r="V289" s="433"/>
      <c r="W289" s="444"/>
      <c r="X289" s="444"/>
      <c r="Y289" s="451" t="s">
        <v>419</v>
      </c>
      <c r="Z289" s="452">
        <v>44.63</v>
      </c>
      <c r="AA289" s="452">
        <f>Z289*4</f>
        <v>178.52</v>
      </c>
      <c r="AB289" s="452">
        <f t="shared" si="13"/>
        <v>357.04</v>
      </c>
      <c r="AC289" s="452">
        <f>AA289*3</f>
        <v>535.56000000000006</v>
      </c>
      <c r="AD289" s="433"/>
      <c r="AE289" s="433"/>
      <c r="AF289" s="433"/>
      <c r="AG289" s="446"/>
      <c r="AH289" s="433"/>
      <c r="AI289" s="433"/>
      <c r="AJ289" s="433"/>
      <c r="AK289" s="433"/>
      <c r="AL289" s="433"/>
      <c r="AM289" s="433"/>
      <c r="AN289" s="433"/>
      <c r="AO289" s="433"/>
    </row>
    <row r="290" spans="1:41" ht="19.899999999999999" customHeight="1">
      <c r="A290" s="666"/>
      <c r="B290" s="433"/>
      <c r="C290" s="433"/>
      <c r="D290" s="433"/>
      <c r="E290" s="433"/>
      <c r="F290" s="433"/>
      <c r="G290" s="433"/>
      <c r="H290" s="433"/>
      <c r="I290" s="433"/>
      <c r="J290" s="433"/>
      <c r="K290" s="433"/>
      <c r="M290" s="440"/>
      <c r="N290" s="472" t="s">
        <v>297</v>
      </c>
      <c r="O290" s="473">
        <f>+N22</f>
        <v>0.5</v>
      </c>
      <c r="P290" s="474" t="s">
        <v>0</v>
      </c>
      <c r="Q290" s="16" t="s">
        <v>298</v>
      </c>
      <c r="R290" s="475" t="s">
        <v>299</v>
      </c>
      <c r="S290" s="475" t="e">
        <f>+IF(S284&lt;=85,S284*3/1000,IF(S284&lt;=125,S284*2/1000,S284/1000))</f>
        <v>#REF!</v>
      </c>
      <c r="T290" s="475" t="e">
        <f>+IF(T284&lt;=85,T284*3/1000,IF(T284&lt;=125,T284*2/1000,T284/1000))</f>
        <v>#REF!</v>
      </c>
      <c r="U290" s="433" t="s">
        <v>0</v>
      </c>
      <c r="V290" s="433"/>
      <c r="W290" s="444"/>
      <c r="X290" s="444"/>
      <c r="Y290" s="451" t="s">
        <v>420</v>
      </c>
      <c r="Z290" s="452">
        <v>63.15</v>
      </c>
      <c r="AA290" s="452">
        <f t="shared" si="12"/>
        <v>505.2</v>
      </c>
      <c r="AB290" s="452">
        <f t="shared" si="13"/>
        <v>1010.4</v>
      </c>
      <c r="AC290" s="452">
        <f t="shared" si="14"/>
        <v>1515.6</v>
      </c>
      <c r="AD290" s="433"/>
      <c r="AE290" s="433"/>
      <c r="AF290" s="433"/>
      <c r="AG290" s="446"/>
      <c r="AH290" s="433"/>
      <c r="AI290" s="433"/>
      <c r="AJ290" s="433"/>
      <c r="AK290" s="433"/>
      <c r="AL290" s="433"/>
      <c r="AM290" s="433"/>
      <c r="AN290" s="433"/>
      <c r="AO290" s="433"/>
    </row>
    <row r="291" spans="1:41" ht="19.899999999999999" customHeight="1">
      <c r="A291" s="666"/>
      <c r="B291" s="433"/>
      <c r="C291" s="433"/>
      <c r="D291" s="433"/>
      <c r="E291" s="433"/>
      <c r="F291" s="433"/>
      <c r="G291" s="433"/>
      <c r="H291" s="433"/>
      <c r="I291" s="433"/>
      <c r="J291" s="433"/>
      <c r="K291" s="433"/>
      <c r="M291" s="440"/>
      <c r="N291" s="472" t="s">
        <v>300</v>
      </c>
      <c r="O291" s="473">
        <f>+K18</f>
        <v>3.5</v>
      </c>
      <c r="P291" s="474" t="s">
        <v>0</v>
      </c>
      <c r="Q291" s="16"/>
      <c r="R291" s="475" t="s">
        <v>301</v>
      </c>
      <c r="S291" s="475" t="e">
        <f>+S290</f>
        <v>#REF!</v>
      </c>
      <c r="T291" s="476" t="e">
        <f>+T290</f>
        <v>#REF!</v>
      </c>
      <c r="U291" s="433" t="s">
        <v>0</v>
      </c>
      <c r="V291" s="433"/>
      <c r="W291" s="444">
        <v>200</v>
      </c>
      <c r="X291" s="444">
        <v>180</v>
      </c>
      <c r="Y291" s="451">
        <v>56</v>
      </c>
      <c r="Z291" s="452">
        <v>31.12</v>
      </c>
      <c r="AA291" s="452">
        <f>Z291*16</f>
        <v>497.92</v>
      </c>
      <c r="AB291" s="452">
        <f t="shared" si="13"/>
        <v>995.84</v>
      </c>
      <c r="AC291" s="452">
        <f t="shared" si="14"/>
        <v>1493.76</v>
      </c>
      <c r="AD291" s="433"/>
      <c r="AE291" s="433"/>
      <c r="AF291" s="433"/>
      <c r="AG291" s="446"/>
      <c r="AH291" s="433"/>
      <c r="AI291" s="433"/>
      <c r="AJ291" s="433"/>
      <c r="AK291" s="433"/>
      <c r="AL291" s="433"/>
      <c r="AM291" s="433"/>
      <c r="AN291" s="433"/>
      <c r="AO291" s="433"/>
    </row>
    <row r="292" spans="1:41" ht="19.899999999999999" customHeight="1" thickBot="1">
      <c r="A292" s="666"/>
      <c r="B292" s="433"/>
      <c r="C292" s="433"/>
      <c r="D292" s="433"/>
      <c r="E292" s="433"/>
      <c r="F292" s="433"/>
      <c r="G292" s="433"/>
      <c r="H292" s="433"/>
      <c r="I292" s="433"/>
      <c r="J292" s="433"/>
      <c r="K292" s="433"/>
      <c r="M292" s="440"/>
      <c r="N292" s="472" t="s">
        <v>302</v>
      </c>
      <c r="O292" s="473">
        <f>+K23</f>
        <v>1</v>
      </c>
      <c r="P292" s="474" t="s">
        <v>0</v>
      </c>
      <c r="Q292" s="477" t="s">
        <v>303</v>
      </c>
      <c r="R292" s="478"/>
      <c r="S292" s="479">
        <v>0</v>
      </c>
      <c r="T292" s="480">
        <v>0</v>
      </c>
      <c r="U292" s="433"/>
      <c r="V292" s="433"/>
      <c r="W292" s="444">
        <v>220</v>
      </c>
      <c r="X292" s="444">
        <v>200</v>
      </c>
      <c r="Y292" s="451">
        <v>64</v>
      </c>
      <c r="Z292" s="452">
        <v>44.03</v>
      </c>
      <c r="AA292" s="452">
        <f>Z292*16</f>
        <v>704.48</v>
      </c>
      <c r="AB292" s="452">
        <f t="shared" si="13"/>
        <v>1408.96</v>
      </c>
      <c r="AC292" s="452">
        <f t="shared" si="14"/>
        <v>2113.44</v>
      </c>
      <c r="AD292" s="433"/>
      <c r="AE292" s="433"/>
      <c r="AF292" s="433"/>
      <c r="AG292" s="446"/>
      <c r="AH292" s="433"/>
      <c r="AI292" s="433"/>
      <c r="AJ292" s="433"/>
      <c r="AK292" s="433"/>
      <c r="AL292" s="433"/>
      <c r="AM292" s="433"/>
      <c r="AN292" s="433"/>
      <c r="AO292" s="433"/>
    </row>
    <row r="293" spans="1:41" ht="19.899999999999999" customHeight="1">
      <c r="A293" s="666"/>
      <c r="B293" s="433"/>
      <c r="C293" s="433"/>
      <c r="D293" s="433"/>
      <c r="E293" s="433"/>
      <c r="F293" s="433"/>
      <c r="G293" s="433"/>
      <c r="H293" s="433"/>
      <c r="I293" s="433"/>
      <c r="J293" s="433"/>
      <c r="K293" s="433"/>
      <c r="M293" s="440"/>
      <c r="N293" s="472" t="s">
        <v>304</v>
      </c>
      <c r="O293" s="473">
        <f>+N21</f>
        <v>1</v>
      </c>
      <c r="P293" s="474" t="s">
        <v>0</v>
      </c>
      <c r="Q293" s="481" t="s">
        <v>305</v>
      </c>
      <c r="R293" s="482"/>
      <c r="S293" s="483">
        <f>+IF(O293&lt;=1,IF(O293&lt;=0.8,IF(O293&lt;=0.6,IF(O293&lt;=0.5,IF(O293&lt;=0.4,IF(O293&lt;=0.35,0.115,0.14),0.19),0.25),0.335),0.435),"NO")</f>
        <v>0.435</v>
      </c>
      <c r="T293" s="433"/>
      <c r="U293" s="433"/>
      <c r="V293" s="433"/>
      <c r="W293" s="444">
        <v>250</v>
      </c>
      <c r="X293" s="444">
        <v>250</v>
      </c>
      <c r="Y293" s="451">
        <v>72</v>
      </c>
      <c r="Z293" s="452">
        <v>58.01</v>
      </c>
      <c r="AA293" s="452">
        <f>Z293*16</f>
        <v>928.16</v>
      </c>
      <c r="AB293" s="452">
        <f t="shared" si="13"/>
        <v>1856.32</v>
      </c>
      <c r="AC293" s="452">
        <f t="shared" si="14"/>
        <v>2784.48</v>
      </c>
      <c r="AD293" s="433"/>
      <c r="AE293" s="433"/>
      <c r="AF293" s="433"/>
      <c r="AG293" s="446"/>
      <c r="AH293" s="433"/>
      <c r="AI293" s="433"/>
      <c r="AJ293" s="433"/>
      <c r="AK293" s="433"/>
      <c r="AL293" s="433"/>
      <c r="AM293" s="433"/>
      <c r="AN293" s="433"/>
      <c r="AO293" s="433"/>
    </row>
    <row r="294" spans="1:41" ht="19.899999999999999" customHeight="1" thickBot="1">
      <c r="A294" s="666"/>
      <c r="B294" s="433"/>
      <c r="C294" s="433"/>
      <c r="D294" s="433"/>
      <c r="E294" s="433"/>
      <c r="F294" s="433"/>
      <c r="G294" s="433"/>
      <c r="H294" s="433"/>
      <c r="I294" s="433"/>
      <c r="J294" s="433"/>
      <c r="K294" s="433"/>
      <c r="M294" s="440"/>
      <c r="N294" s="472" t="s">
        <v>306</v>
      </c>
      <c r="O294" s="473">
        <f>+N23</f>
        <v>0.5</v>
      </c>
      <c r="P294" s="474" t="s">
        <v>0</v>
      </c>
      <c r="Q294" s="484" t="s">
        <v>307</v>
      </c>
      <c r="R294" s="485"/>
      <c r="S294" s="486">
        <f>+T294</f>
        <v>0</v>
      </c>
      <c r="T294" s="433">
        <f>+IF(OR(O290-O289=1,O290-O289=1.1,O290-O289=1.2),8,IF(OR(O290-O289=0.9,O290-O289=0.8,O290-O289=0.7,O290-O289=0.6),4,0))</f>
        <v>0</v>
      </c>
      <c r="U294" s="433" t="s">
        <v>308</v>
      </c>
      <c r="V294" s="433"/>
      <c r="W294" s="487">
        <v>250</v>
      </c>
      <c r="X294" s="487">
        <v>250</v>
      </c>
      <c r="Y294" s="488">
        <v>80</v>
      </c>
      <c r="Z294" s="489">
        <v>77.37</v>
      </c>
      <c r="AA294" s="489">
        <f>Z294*16</f>
        <v>1237.92</v>
      </c>
      <c r="AB294" s="489">
        <f t="shared" si="13"/>
        <v>2475.84</v>
      </c>
      <c r="AC294" s="489">
        <f t="shared" si="14"/>
        <v>3713.76</v>
      </c>
      <c r="AD294" s="433"/>
      <c r="AE294" s="433"/>
      <c r="AF294" s="433"/>
      <c r="AG294" s="446"/>
      <c r="AH294" s="433"/>
      <c r="AI294" s="433"/>
      <c r="AJ294" s="441"/>
      <c r="AK294" s="441"/>
      <c r="AL294" s="433"/>
      <c r="AM294" s="433"/>
      <c r="AN294" s="433"/>
      <c r="AO294" s="433"/>
    </row>
    <row r="295" spans="1:41" ht="19.899999999999999" customHeight="1" thickBot="1">
      <c r="A295" s="666"/>
      <c r="B295" s="433"/>
      <c r="C295" s="433"/>
      <c r="D295" s="433"/>
      <c r="E295" s="433"/>
      <c r="F295" s="433"/>
      <c r="G295" s="433"/>
      <c r="H295" s="433"/>
      <c r="I295" s="433"/>
      <c r="J295" s="433"/>
      <c r="K295" s="433"/>
      <c r="M295" s="440"/>
      <c r="N295" s="490" t="s">
        <v>52</v>
      </c>
      <c r="O295" s="491">
        <v>7.4999999999999997E-2</v>
      </c>
      <c r="P295" s="492" t="s">
        <v>0</v>
      </c>
      <c r="Q295" s="493" t="s">
        <v>309</v>
      </c>
      <c r="R295" s="494">
        <v>0</v>
      </c>
      <c r="S295" s="495">
        <f>+((ROUND(((Y305-W305)/2-2*O295-O293/2)/0.3-0.3,0)+1)*2+(ROUND((W305-O293-2*O295)/0.3-0.3,0)+1)+(ROUND(((X305-V305)/2-2*O295-O293/2)/0.3-0.3,0)+1)*2+(ROUND((V305-O293-2*O295)/0.3-0.3,0)+1))*2</f>
        <v>52</v>
      </c>
      <c r="T295" s="496"/>
      <c r="U295" s="433"/>
      <c r="V295" s="433"/>
      <c r="W295" s="433"/>
      <c r="X295" s="433"/>
      <c r="Y295" s="433"/>
      <c r="Z295" s="433"/>
      <c r="AA295" s="433"/>
      <c r="AB295" s="433"/>
      <c r="AC295" s="433"/>
      <c r="AD295" s="433"/>
      <c r="AE295" s="433"/>
      <c r="AF295" s="433"/>
      <c r="AG295" s="446"/>
      <c r="AH295" s="433"/>
      <c r="AI295" s="433"/>
      <c r="AJ295" s="441"/>
      <c r="AK295" s="441"/>
      <c r="AL295" s="433"/>
      <c r="AM295" s="433"/>
      <c r="AN295" s="433"/>
      <c r="AO295" s="433"/>
    </row>
    <row r="296" spans="1:41" ht="19.899999999999999" customHeight="1" thickBot="1">
      <c r="A296" s="666"/>
      <c r="B296" s="433"/>
      <c r="C296" s="433"/>
      <c r="D296" s="433"/>
      <c r="E296" s="433"/>
      <c r="F296" s="433"/>
      <c r="G296" s="433"/>
      <c r="H296" s="433"/>
      <c r="I296" s="433"/>
      <c r="J296" s="433"/>
      <c r="K296" s="433"/>
      <c r="M296" s="440"/>
      <c r="N296" s="433"/>
      <c r="O296" s="433"/>
      <c r="P296" s="433"/>
      <c r="Q296" s="493" t="s">
        <v>310</v>
      </c>
      <c r="R296" s="494">
        <f>+IF(O292=0.6,20,IF(O292=0.8,28,IF(O292=1,36,IF(O292=1.2,44,"kiem tra"))))</f>
        <v>36</v>
      </c>
      <c r="S296" s="1638" t="s">
        <v>311</v>
      </c>
      <c r="T296" s="1639"/>
      <c r="U296" s="1639"/>
      <c r="V296" s="1639"/>
      <c r="W296" s="1639"/>
      <c r="X296" s="1640"/>
      <c r="Y296" s="1638" t="s">
        <v>312</v>
      </c>
      <c r="Z296" s="1639"/>
      <c r="AA296" s="1639"/>
      <c r="AB296" s="1640"/>
      <c r="AC296" s="1638" t="s">
        <v>313</v>
      </c>
      <c r="AD296" s="1639"/>
      <c r="AE296" s="1639"/>
      <c r="AF296" s="1640"/>
      <c r="AG296" s="456"/>
      <c r="AH296" s="433"/>
      <c r="AI296" s="433"/>
      <c r="AJ296" s="441"/>
      <c r="AK296" s="441"/>
      <c r="AL296" s="433"/>
      <c r="AM296" s="433"/>
      <c r="AN296" s="433"/>
      <c r="AO296" s="433"/>
    </row>
    <row r="297" spans="1:41" ht="19.899999999999999" customHeight="1" thickBot="1">
      <c r="A297" s="666"/>
      <c r="B297" s="433"/>
      <c r="C297" s="433"/>
      <c r="D297" s="433"/>
      <c r="E297" s="433"/>
      <c r="F297" s="433"/>
      <c r="G297" s="433"/>
      <c r="H297" s="433"/>
      <c r="I297" s="433"/>
      <c r="J297" s="433"/>
      <c r="K297" s="433"/>
      <c r="M297" s="440"/>
      <c r="N297" s="433"/>
      <c r="O297" s="433"/>
      <c r="P297" s="433"/>
      <c r="Q297" s="433"/>
      <c r="R297" s="433"/>
      <c r="S297" s="1641" t="s">
        <v>299</v>
      </c>
      <c r="T297" s="1642"/>
      <c r="U297" s="1643"/>
      <c r="V297" s="1644" t="s">
        <v>301</v>
      </c>
      <c r="W297" s="1642"/>
      <c r="X297" s="1643"/>
      <c r="Y297" s="1645" t="s">
        <v>299</v>
      </c>
      <c r="Z297" s="1646"/>
      <c r="AA297" s="1647" t="s">
        <v>421</v>
      </c>
      <c r="AB297" s="1648"/>
      <c r="AC297" s="1649" t="s">
        <v>299</v>
      </c>
      <c r="AD297" s="1650"/>
      <c r="AE297" s="1631" t="s">
        <v>421</v>
      </c>
      <c r="AF297" s="1632"/>
      <c r="AG297" s="446"/>
      <c r="AH297" s="433"/>
      <c r="AI297" s="433"/>
      <c r="AJ297" s="441"/>
      <c r="AK297" s="441"/>
      <c r="AL297" s="433"/>
      <c r="AM297" s="433"/>
      <c r="AN297" s="433"/>
      <c r="AO297" s="433"/>
    </row>
    <row r="298" spans="1:41" ht="19.899999999999999" customHeight="1">
      <c r="A298" s="666"/>
      <c r="B298" s="433"/>
      <c r="C298" s="433"/>
      <c r="D298" s="433"/>
      <c r="E298" s="433"/>
      <c r="F298" s="433"/>
      <c r="G298" s="433"/>
      <c r="H298" s="433"/>
      <c r="I298" s="433"/>
      <c r="J298" s="433"/>
      <c r="K298" s="433"/>
      <c r="M298" s="497" t="s">
        <v>314</v>
      </c>
      <c r="N298" s="498" t="s">
        <v>315</v>
      </c>
      <c r="O298" s="498" t="s">
        <v>316</v>
      </c>
      <c r="P298" s="498" t="s">
        <v>317</v>
      </c>
      <c r="Q298" s="498" t="s">
        <v>318</v>
      </c>
      <c r="R298" s="499" t="s">
        <v>319</v>
      </c>
      <c r="S298" s="500">
        <v>1</v>
      </c>
      <c r="T298" s="501">
        <v>2</v>
      </c>
      <c r="U298" s="502">
        <v>3</v>
      </c>
      <c r="V298" s="500">
        <v>1</v>
      </c>
      <c r="W298" s="501">
        <v>2</v>
      </c>
      <c r="X298" s="502">
        <v>3</v>
      </c>
      <c r="Y298" s="500" t="s">
        <v>320</v>
      </c>
      <c r="Z298" s="502" t="s">
        <v>321</v>
      </c>
      <c r="AA298" s="481" t="s">
        <v>322</v>
      </c>
      <c r="AB298" s="502" t="s">
        <v>323</v>
      </c>
      <c r="AC298" s="481" t="s">
        <v>324</v>
      </c>
      <c r="AD298" s="503" t="s">
        <v>325</v>
      </c>
      <c r="AE298" s="482" t="s">
        <v>324</v>
      </c>
      <c r="AF298" s="503" t="s">
        <v>325</v>
      </c>
      <c r="AG298" s="446"/>
      <c r="AH298" s="433"/>
      <c r="AI298" s="433"/>
      <c r="AJ298" s="441"/>
      <c r="AK298" s="441"/>
      <c r="AL298" s="433"/>
      <c r="AM298" s="433"/>
      <c r="AN298" s="433"/>
      <c r="AO298" s="433"/>
    </row>
    <row r="299" spans="1:41" ht="19.899999999999999" customHeight="1">
      <c r="A299" s="666"/>
      <c r="B299" s="433"/>
      <c r="C299" s="433"/>
      <c r="D299" s="433"/>
      <c r="E299" s="433"/>
      <c r="F299" s="433"/>
      <c r="G299" s="433"/>
      <c r="H299" s="433"/>
      <c r="I299" s="433"/>
      <c r="J299" s="433"/>
      <c r="K299" s="433"/>
      <c r="M299" s="504" t="s">
        <v>56</v>
      </c>
      <c r="N299" s="505" t="e">
        <f>+VALUE(MID(C232,4,2))</f>
        <v>#VALUE!</v>
      </c>
      <c r="O299" s="505" t="e">
        <f>+VALUE(MID(C164,4,2))</f>
        <v>#VALUE!</v>
      </c>
      <c r="P299" s="505" t="e">
        <f>+O299</f>
        <v>#VALUE!</v>
      </c>
      <c r="Q299" s="505" t="e">
        <f>+O299</f>
        <v>#VALUE!</v>
      </c>
      <c r="R299" s="506" t="e">
        <f>+O299</f>
        <v>#VALUE!</v>
      </c>
      <c r="S299" s="507" t="e">
        <f>+VALUE(LEFT(#REF!,2))</f>
        <v>#REF!</v>
      </c>
      <c r="T299" s="475" t="e">
        <f>+VALUE(LEFT(#REF!,2))</f>
        <v>#REF!</v>
      </c>
      <c r="U299" s="476" t="e">
        <f>+T299</f>
        <v>#REF!</v>
      </c>
      <c r="V299" s="507" t="e">
        <f>+S299</f>
        <v>#REF!</v>
      </c>
      <c r="W299" s="475" t="e">
        <f>+T299</f>
        <v>#REF!</v>
      </c>
      <c r="X299" s="476" t="e">
        <f>+W299</f>
        <v>#REF!</v>
      </c>
      <c r="Y299" s="507" t="e">
        <f>+S299</f>
        <v>#REF!</v>
      </c>
      <c r="Z299" s="476" t="e">
        <f>+T299</f>
        <v>#REF!</v>
      </c>
      <c r="AA299" s="508" t="e">
        <f>+V299</f>
        <v>#REF!</v>
      </c>
      <c r="AB299" s="476" t="e">
        <f>+W299</f>
        <v>#REF!</v>
      </c>
      <c r="AC299" s="508" t="e">
        <f>+Y299</f>
        <v>#REF!</v>
      </c>
      <c r="AD299" s="509" t="e">
        <f>+Z299</f>
        <v>#REF!</v>
      </c>
      <c r="AE299" s="510" t="e">
        <f>+AA299</f>
        <v>#REF!</v>
      </c>
      <c r="AF299" s="476" t="e">
        <f>+AB299</f>
        <v>#REF!</v>
      </c>
      <c r="AG299" s="446"/>
      <c r="AH299" s="433"/>
      <c r="AI299" s="433"/>
      <c r="AJ299" s="441"/>
      <c r="AK299" s="441"/>
      <c r="AL299" s="433"/>
      <c r="AM299" s="433"/>
      <c r="AN299" s="433"/>
      <c r="AO299" s="433"/>
    </row>
    <row r="300" spans="1:41" ht="19.899999999999999" customHeight="1">
      <c r="A300" s="666"/>
      <c r="B300" s="433"/>
      <c r="C300" s="433"/>
      <c r="D300" s="433"/>
      <c r="E300" s="433"/>
      <c r="F300" s="433"/>
      <c r="G300" s="433"/>
      <c r="H300" s="433"/>
      <c r="I300" s="433"/>
      <c r="J300" s="433"/>
      <c r="K300" s="433"/>
      <c r="M300" s="511" t="s">
        <v>326</v>
      </c>
      <c r="N300" s="512" t="str">
        <f>+LEFT(C232,2)</f>
        <v>20</v>
      </c>
      <c r="O300" s="512" t="e">
        <f>+MAX(LEFT(#REF!,2),LEFT(C164,2))-P300</f>
        <v>#REF!</v>
      </c>
      <c r="P300" s="513">
        <v>3</v>
      </c>
      <c r="Q300" s="512" t="e">
        <f>+O300</f>
        <v>#REF!</v>
      </c>
      <c r="R300" s="514">
        <f>+P300</f>
        <v>3</v>
      </c>
      <c r="S300" s="507" t="e">
        <f>+S290</f>
        <v>#REF!</v>
      </c>
      <c r="T300" s="475" t="e">
        <f>+T290</f>
        <v>#REF!</v>
      </c>
      <c r="U300" s="476" t="e">
        <f>+T300</f>
        <v>#REF!</v>
      </c>
      <c r="V300" s="507" t="e">
        <f>+S291</f>
        <v>#REF!</v>
      </c>
      <c r="W300" s="475" t="e">
        <f>+T291</f>
        <v>#REF!</v>
      </c>
      <c r="X300" s="476" t="e">
        <f>+W300</f>
        <v>#REF!</v>
      </c>
      <c r="Y300" s="515"/>
      <c r="Z300" s="476"/>
      <c r="AA300" s="516"/>
      <c r="AB300" s="476"/>
      <c r="AC300" s="516"/>
      <c r="AD300" s="509"/>
      <c r="AE300" s="517"/>
      <c r="AF300" s="476"/>
      <c r="AG300" s="446"/>
      <c r="AH300" s="433"/>
      <c r="AI300" s="433"/>
      <c r="AJ300" s="441"/>
      <c r="AK300" s="441"/>
      <c r="AL300" s="433"/>
      <c r="AM300" s="433"/>
      <c r="AN300" s="433"/>
      <c r="AO300" s="433"/>
    </row>
    <row r="301" spans="1:41" ht="19.899999999999999" customHeight="1">
      <c r="A301" s="666"/>
      <c r="B301" s="433"/>
      <c r="C301" s="433"/>
      <c r="D301" s="433"/>
      <c r="E301" s="433"/>
      <c r="F301" s="433"/>
      <c r="G301" s="433"/>
      <c r="H301" s="433"/>
      <c r="I301" s="433"/>
      <c r="J301" s="433"/>
      <c r="K301" s="433"/>
      <c r="M301" s="1633" t="s">
        <v>327</v>
      </c>
      <c r="N301" s="518">
        <f>+N300*4-4</f>
        <v>76</v>
      </c>
      <c r="O301" s="518" t="e">
        <f>+O300*2</f>
        <v>#REF!</v>
      </c>
      <c r="P301" s="518">
        <f>+P300*2</f>
        <v>6</v>
      </c>
      <c r="Q301" s="518" t="e">
        <f>+Q300*2</f>
        <v>#REF!</v>
      </c>
      <c r="R301" s="519">
        <f>+R300*2</f>
        <v>6</v>
      </c>
      <c r="S301" s="507" t="e">
        <f>+ROUND(((O287-O286)/2-S293-O295)/S300,0)+1</f>
        <v>#REF!</v>
      </c>
      <c r="T301" s="475" t="e">
        <f>+ROUND(((O286-O288)/2-S293-O295)/T300,0)+1</f>
        <v>#REF!</v>
      </c>
      <c r="U301" s="476" t="e">
        <f>+ROUND((O288+2*O295)/U300,0)-1</f>
        <v>#REF!</v>
      </c>
      <c r="V301" s="507" t="e">
        <f>+ROUND(((Q287-Q286)/2-S293-O295)/V300,0)+1</f>
        <v>#REF!</v>
      </c>
      <c r="W301" s="475" t="e">
        <f>+ROUND(((Q286-Q288)/2-S293-O295)/W300,0)+1</f>
        <v>#REF!</v>
      </c>
      <c r="X301" s="476" t="e">
        <f>+ROUND((Q288+2*O295)/X300,0)-1</f>
        <v>#REF!</v>
      </c>
      <c r="Y301" s="515" t="e">
        <f>+(S301-1)*2*S292</f>
        <v>#REF!</v>
      </c>
      <c r="Z301" s="476" t="e">
        <f>+((U301+1)+(T301-1)*2)*T292</f>
        <v>#REF!</v>
      </c>
      <c r="AA301" s="516" t="e">
        <f>+(V301-1)*2*S292</f>
        <v>#REF!</v>
      </c>
      <c r="AB301" s="520" t="e">
        <f>+((X301+1)+(W301-1)*2)*T292</f>
        <v>#REF!</v>
      </c>
      <c r="AC301" s="521" t="e">
        <f>+Y301</f>
        <v>#REF!</v>
      </c>
      <c r="AD301" s="522" t="e">
        <f>+((U301+1)+(T301-1)*2)*T292</f>
        <v>#REF!</v>
      </c>
      <c r="AE301" s="523" t="e">
        <f>+AA301</f>
        <v>#REF!</v>
      </c>
      <c r="AF301" s="520" t="e">
        <f>+((X301+1)+(W301-1)*2)*T292</f>
        <v>#REF!</v>
      </c>
      <c r="AG301" s="446"/>
      <c r="AH301" s="433"/>
      <c r="AI301" s="433"/>
      <c r="AJ301" s="433"/>
      <c r="AK301" s="441"/>
      <c r="AL301" s="433"/>
      <c r="AM301" s="433"/>
      <c r="AN301" s="433"/>
      <c r="AO301" s="433"/>
    </row>
    <row r="302" spans="1:41" ht="19.899999999999999" customHeight="1">
      <c r="A302" s="666"/>
      <c r="B302" s="433"/>
      <c r="C302" s="433"/>
      <c r="D302" s="433"/>
      <c r="E302" s="433"/>
      <c r="F302" s="433"/>
      <c r="G302" s="433"/>
      <c r="H302" s="433"/>
      <c r="I302" s="433"/>
      <c r="J302" s="433"/>
      <c r="K302" s="433"/>
      <c r="M302" s="1634"/>
      <c r="N302" s="524"/>
      <c r="O302" s="525" t="s">
        <v>328</v>
      </c>
      <c r="P302" s="526">
        <f>+ROUND(K28/2,1)+0.1</f>
        <v>0.7</v>
      </c>
      <c r="Q302" s="524"/>
      <c r="R302" s="527">
        <f>+ROUND(K26/2,1)+0.1</f>
        <v>0.5</v>
      </c>
      <c r="S302" s="528" t="e">
        <f>+S301-1</f>
        <v>#REF!</v>
      </c>
      <c r="T302" s="524" t="e">
        <f>+T301-1</f>
        <v>#REF!</v>
      </c>
      <c r="U302" s="529"/>
      <c r="V302" s="528" t="e">
        <f>+V301-1</f>
        <v>#REF!</v>
      </c>
      <c r="W302" s="524" t="e">
        <f>+W301-1</f>
        <v>#REF!</v>
      </c>
      <c r="X302" s="529"/>
      <c r="Y302" s="530" t="e">
        <f t="shared" ref="Y302:AF302" si="15">+Y301</f>
        <v>#REF!</v>
      </c>
      <c r="Z302" s="531" t="e">
        <f t="shared" si="15"/>
        <v>#REF!</v>
      </c>
      <c r="AA302" s="532" t="e">
        <f t="shared" si="15"/>
        <v>#REF!</v>
      </c>
      <c r="AB302" s="531" t="e">
        <f t="shared" si="15"/>
        <v>#REF!</v>
      </c>
      <c r="AC302" s="532" t="e">
        <f t="shared" si="15"/>
        <v>#REF!</v>
      </c>
      <c r="AD302" s="533" t="e">
        <f t="shared" si="15"/>
        <v>#REF!</v>
      </c>
      <c r="AE302" s="534" t="e">
        <f t="shared" si="15"/>
        <v>#REF!</v>
      </c>
      <c r="AF302" s="531" t="e">
        <f t="shared" si="15"/>
        <v>#REF!</v>
      </c>
      <c r="AG302" s="446"/>
      <c r="AH302" s="433"/>
      <c r="AI302" s="433"/>
      <c r="AJ302" s="433"/>
      <c r="AK302" s="441"/>
      <c r="AL302" s="433"/>
      <c r="AM302" s="433"/>
      <c r="AN302" s="433"/>
      <c r="AO302" s="433"/>
    </row>
    <row r="303" spans="1:41" ht="19.899999999999999" customHeight="1" thickBot="1">
      <c r="A303" s="666"/>
      <c r="B303" s="433"/>
      <c r="C303" s="433"/>
      <c r="D303" s="433"/>
      <c r="E303" s="433"/>
      <c r="F303" s="433"/>
      <c r="G303" s="433"/>
      <c r="H303" s="433"/>
      <c r="I303" s="433"/>
      <c r="J303" s="433"/>
      <c r="K303" s="433"/>
      <c r="M303" s="406" t="s">
        <v>329</v>
      </c>
      <c r="N303" s="535">
        <f>+O291-2*O295+0.25</f>
        <v>3.6</v>
      </c>
      <c r="O303" s="535">
        <f>+Q287-2*O295</f>
        <v>5.85</v>
      </c>
      <c r="P303" s="535">
        <f>+P302*2+O286</f>
        <v>4</v>
      </c>
      <c r="Q303" s="535">
        <f>+O287-2*O295</f>
        <v>4.8499999999999996</v>
      </c>
      <c r="R303" s="536">
        <f>+R302*2+O286</f>
        <v>3.6</v>
      </c>
      <c r="S303" s="537">
        <f>+O303</f>
        <v>5.85</v>
      </c>
      <c r="T303" s="538">
        <f>+S303</f>
        <v>5.85</v>
      </c>
      <c r="U303" s="539">
        <f>+(Q287/2-Q288/2-2*O295)</f>
        <v>2.7</v>
      </c>
      <c r="V303" s="537">
        <f>+Q303</f>
        <v>4.8499999999999996</v>
      </c>
      <c r="W303" s="538">
        <f>+V303</f>
        <v>4.8499999999999996</v>
      </c>
      <c r="X303" s="539">
        <f>+(O287/2-O288/2-2*O295)</f>
        <v>2.2000000000000002</v>
      </c>
      <c r="Y303" s="540"/>
      <c r="Z303" s="541"/>
      <c r="AA303" s="540"/>
      <c r="AB303" s="541"/>
      <c r="AC303" s="542"/>
      <c r="AD303" s="543"/>
      <c r="AE303" s="544"/>
      <c r="AF303" s="541"/>
      <c r="AG303" s="446"/>
      <c r="AH303" s="433"/>
      <c r="AI303" s="433"/>
      <c r="AJ303" s="433"/>
      <c r="AK303" s="433"/>
      <c r="AL303" s="433"/>
      <c r="AM303" s="433"/>
      <c r="AN303" s="433"/>
      <c r="AO303" s="433"/>
    </row>
    <row r="304" spans="1:41" ht="19.899999999999999" customHeight="1" thickBot="1">
      <c r="A304" s="666"/>
      <c r="B304" s="433"/>
      <c r="C304" s="433"/>
      <c r="D304" s="433"/>
      <c r="E304" s="433"/>
      <c r="F304" s="433"/>
      <c r="G304" s="433"/>
      <c r="H304" s="433"/>
      <c r="I304" s="433"/>
      <c r="J304" s="433"/>
      <c r="K304" s="433"/>
      <c r="M304" s="434"/>
      <c r="N304" s="436"/>
      <c r="O304" s="436"/>
      <c r="P304" s="436"/>
      <c r="Q304" s="436"/>
      <c r="R304" s="436"/>
      <c r="S304" s="433"/>
      <c r="T304" s="433"/>
      <c r="U304" s="433"/>
      <c r="V304" s="433"/>
      <c r="W304" s="433"/>
      <c r="X304" s="433"/>
      <c r="Y304" s="433"/>
      <c r="Z304" s="433"/>
      <c r="AA304" s="433"/>
      <c r="AB304" s="433"/>
      <c r="AC304" s="433"/>
      <c r="AD304" s="433"/>
      <c r="AE304" s="433"/>
      <c r="AF304" s="433"/>
      <c r="AG304" s="446"/>
      <c r="AH304" s="433"/>
      <c r="AI304" s="433"/>
      <c r="AJ304" s="433"/>
      <c r="AK304" s="433"/>
      <c r="AL304" s="433"/>
      <c r="AM304" s="433"/>
      <c r="AN304" s="433"/>
      <c r="AO304" s="433"/>
    </row>
    <row r="305" spans="1:41" ht="19.899999999999999" customHeight="1" thickBot="1">
      <c r="A305" s="666"/>
      <c r="B305" s="433"/>
      <c r="C305" s="433"/>
      <c r="D305" s="433"/>
      <c r="E305" s="433"/>
      <c r="F305" s="433"/>
      <c r="G305" s="433"/>
      <c r="H305" s="433"/>
      <c r="I305" s="433"/>
      <c r="J305" s="433"/>
      <c r="K305" s="433"/>
      <c r="M305" s="407" t="s">
        <v>330</v>
      </c>
      <c r="N305" s="545"/>
      <c r="O305" s="545"/>
      <c r="P305" s="545"/>
      <c r="Q305" s="545"/>
      <c r="R305" s="545"/>
      <c r="S305" s="546"/>
      <c r="T305" s="433"/>
      <c r="U305" s="407" t="s">
        <v>288</v>
      </c>
      <c r="V305" s="547">
        <f>+O286</f>
        <v>2.6</v>
      </c>
      <c r="W305" s="547">
        <f>+Q286</f>
        <v>2.6</v>
      </c>
      <c r="X305" s="548">
        <f>+O287</f>
        <v>5</v>
      </c>
      <c r="Y305" s="549">
        <f>+Q287</f>
        <v>6</v>
      </c>
      <c r="Z305" s="550"/>
      <c r="AA305" s="550"/>
      <c r="AB305" s="21"/>
      <c r="AC305" s="21"/>
      <c r="AD305" s="433"/>
      <c r="AE305" s="433"/>
      <c r="AF305" s="433"/>
      <c r="AG305" s="446"/>
      <c r="AH305" s="433"/>
      <c r="AI305" s="433"/>
      <c r="AJ305" s="441"/>
      <c r="AK305" s="441"/>
      <c r="AL305" s="433"/>
      <c r="AM305" s="433"/>
      <c r="AN305" s="433"/>
      <c r="AO305" s="433"/>
    </row>
    <row r="306" spans="1:41" ht="19.899999999999999" customHeight="1" thickBot="1">
      <c r="A306" s="666"/>
      <c r="B306" s="433"/>
      <c r="C306" s="433"/>
      <c r="D306" s="433"/>
      <c r="E306" s="433"/>
      <c r="F306" s="433"/>
      <c r="G306" s="433"/>
      <c r="H306" s="433"/>
      <c r="I306" s="433"/>
      <c r="J306" s="433"/>
      <c r="K306" s="433"/>
      <c r="M306" s="551"/>
      <c r="N306" s="552" t="s">
        <v>331</v>
      </c>
      <c r="O306" s="552" t="s">
        <v>332</v>
      </c>
      <c r="P306" s="552" t="s">
        <v>333</v>
      </c>
      <c r="Q306" s="552" t="s">
        <v>334</v>
      </c>
      <c r="R306" s="553" t="s">
        <v>335</v>
      </c>
      <c r="S306" s="554" t="s">
        <v>336</v>
      </c>
      <c r="T306" s="551" t="s">
        <v>137</v>
      </c>
      <c r="U306" s="555" t="s">
        <v>337</v>
      </c>
      <c r="V306" s="552" t="s">
        <v>56</v>
      </c>
      <c r="W306" s="552" t="s">
        <v>338</v>
      </c>
      <c r="X306" s="552" t="s">
        <v>339</v>
      </c>
      <c r="Y306" s="554" t="s">
        <v>340</v>
      </c>
      <c r="Z306" s="556"/>
      <c r="AA306" s="556"/>
      <c r="AB306" s="21"/>
      <c r="AC306" s="21"/>
      <c r="AD306" s="433"/>
      <c r="AE306" s="433"/>
      <c r="AF306" s="433"/>
      <c r="AG306" s="446"/>
      <c r="AH306" s="433"/>
      <c r="AI306" s="21"/>
      <c r="AJ306" s="441"/>
      <c r="AK306" s="441"/>
      <c r="AL306" s="433"/>
      <c r="AM306" s="433"/>
      <c r="AN306" s="433"/>
      <c r="AO306" s="433"/>
    </row>
    <row r="307" spans="1:41" ht="19.899999999999999" customHeight="1">
      <c r="A307" s="666"/>
      <c r="B307" s="433"/>
      <c r="C307" s="433"/>
      <c r="D307" s="433"/>
      <c r="E307" s="433"/>
      <c r="F307" s="433"/>
      <c r="G307" s="433"/>
      <c r="H307" s="433"/>
      <c r="I307" s="433"/>
      <c r="J307" s="433"/>
      <c r="K307" s="433"/>
      <c r="M307" s="557" t="s">
        <v>341</v>
      </c>
      <c r="N307" s="558">
        <f>X305</f>
        <v>5</v>
      </c>
      <c r="O307" s="558">
        <f>Y305</f>
        <v>6</v>
      </c>
      <c r="P307" s="558">
        <f>+O288</f>
        <v>0.3</v>
      </c>
      <c r="Q307" s="558">
        <f>+Q288</f>
        <v>0.3</v>
      </c>
      <c r="R307" s="558">
        <f>+O289</f>
        <v>0.5</v>
      </c>
      <c r="S307" s="559">
        <f>(N307*O307-P307*Q307)*R307</f>
        <v>14.955</v>
      </c>
      <c r="T307" s="560"/>
      <c r="U307" s="561">
        <v>1</v>
      </c>
      <c r="V307" s="562" t="e">
        <f>+N299</f>
        <v>#VALUE!</v>
      </c>
      <c r="W307" s="563">
        <f>+N303</f>
        <v>3.6</v>
      </c>
      <c r="X307" s="562">
        <f>+N301*4</f>
        <v>304</v>
      </c>
      <c r="Y307" s="564">
        <f t="shared" ref="Y307:Y332" si="16">W307*X307</f>
        <v>1094.4000000000001</v>
      </c>
      <c r="Z307" s="565"/>
      <c r="AA307" s="565"/>
      <c r="AB307" s="21" t="s">
        <v>342</v>
      </c>
      <c r="AC307" s="21"/>
      <c r="AD307" s="21"/>
      <c r="AE307" s="21"/>
      <c r="AF307" s="433"/>
      <c r="AG307" s="446"/>
      <c r="AH307" s="433"/>
      <c r="AI307" s="21"/>
      <c r="AJ307" s="433"/>
      <c r="AK307" s="441"/>
      <c r="AL307" s="433"/>
      <c r="AM307" s="433"/>
      <c r="AN307" s="433"/>
      <c r="AO307" s="433"/>
    </row>
    <row r="308" spans="1:41" ht="19.899999999999999" customHeight="1">
      <c r="A308" s="666"/>
      <c r="B308" s="433"/>
      <c r="C308" s="433"/>
      <c r="D308" s="433"/>
      <c r="E308" s="433"/>
      <c r="F308" s="433"/>
      <c r="G308" s="433"/>
      <c r="H308" s="433"/>
      <c r="I308" s="433"/>
      <c r="J308" s="433"/>
      <c r="K308" s="433"/>
      <c r="M308" s="566" t="s">
        <v>343</v>
      </c>
      <c r="N308" s="567">
        <f>+O293</f>
        <v>1</v>
      </c>
      <c r="O308" s="568">
        <f>R308-R307</f>
        <v>0</v>
      </c>
      <c r="P308" s="568">
        <f>N307</f>
        <v>5</v>
      </c>
      <c r="Q308" s="568">
        <f>O307</f>
        <v>6</v>
      </c>
      <c r="R308" s="567">
        <f>+O290</f>
        <v>0.5</v>
      </c>
      <c r="S308" s="569">
        <f>(N308*O308*P308*2)+(N308*O308*(Q308-N308*2))*2</f>
        <v>0</v>
      </c>
      <c r="T308" s="566"/>
      <c r="U308" s="570" t="e">
        <f>+IF(OR(W308=0,X308=0),0,IF(U307=0,U306+1,U307+1))</f>
        <v>#REF!</v>
      </c>
      <c r="V308" s="567" t="e">
        <f>O299</f>
        <v>#VALUE!</v>
      </c>
      <c r="W308" s="571">
        <f>+O303</f>
        <v>5.85</v>
      </c>
      <c r="X308" s="567" t="e">
        <f>+O301*2</f>
        <v>#REF!</v>
      </c>
      <c r="Y308" s="572" t="e">
        <f t="shared" si="16"/>
        <v>#REF!</v>
      </c>
      <c r="Z308" s="565"/>
      <c r="AA308" s="565"/>
      <c r="AB308" s="21" t="s">
        <v>344</v>
      </c>
      <c r="AC308" s="21"/>
      <c r="AD308" s="21"/>
      <c r="AE308" s="21"/>
      <c r="AF308" s="433"/>
      <c r="AG308" s="446"/>
      <c r="AH308" s="433"/>
      <c r="AI308" s="21"/>
      <c r="AJ308" s="433"/>
      <c r="AK308" s="433"/>
      <c r="AL308" s="433"/>
      <c r="AM308" s="433"/>
      <c r="AN308" s="433"/>
      <c r="AO308" s="433"/>
    </row>
    <row r="309" spans="1:41" ht="19.899999999999999" customHeight="1">
      <c r="A309" s="666"/>
      <c r="B309" s="433"/>
      <c r="C309" s="433"/>
      <c r="D309" s="433"/>
      <c r="E309" s="433"/>
      <c r="F309" s="433"/>
      <c r="G309" s="433"/>
      <c r="H309" s="433"/>
      <c r="I309" s="433"/>
      <c r="J309" s="433"/>
      <c r="K309" s="433"/>
      <c r="M309" s="566" t="s">
        <v>345</v>
      </c>
      <c r="N309" s="567">
        <f>+O294</f>
        <v>0.5</v>
      </c>
      <c r="O309" s="567">
        <f>N309</f>
        <v>0.5</v>
      </c>
      <c r="P309" s="567">
        <f>O308</f>
        <v>0</v>
      </c>
      <c r="Q309" s="567"/>
      <c r="R309" s="567"/>
      <c r="S309" s="569">
        <f>((N309*O309)/2)*P309*16</f>
        <v>0</v>
      </c>
      <c r="T309" s="566"/>
      <c r="U309" s="570" t="s">
        <v>346</v>
      </c>
      <c r="V309" s="573" t="e">
        <f>+P299</f>
        <v>#VALUE!</v>
      </c>
      <c r="W309" s="574">
        <f>+P303</f>
        <v>4</v>
      </c>
      <c r="X309" s="575">
        <f>+P301*2</f>
        <v>12</v>
      </c>
      <c r="Y309" s="576">
        <f>W309*X309</f>
        <v>48</v>
      </c>
      <c r="Z309" s="20">
        <f>+Y309+Y310</f>
        <v>91.2</v>
      </c>
      <c r="AA309" s="21">
        <f>+X309+X310</f>
        <v>24</v>
      </c>
      <c r="AB309" s="21" t="s">
        <v>347</v>
      </c>
      <c r="AC309" s="21"/>
      <c r="AD309" s="21"/>
      <c r="AE309" s="21"/>
      <c r="AF309" s="433"/>
      <c r="AG309" s="446"/>
      <c r="AH309" s="433"/>
      <c r="AI309" s="21"/>
      <c r="AJ309" s="433"/>
      <c r="AK309" s="433"/>
      <c r="AL309" s="433"/>
      <c r="AM309" s="433"/>
      <c r="AN309" s="433"/>
      <c r="AO309" s="433"/>
    </row>
    <row r="310" spans="1:41" ht="19.899999999999999" customHeight="1" thickBot="1">
      <c r="A310" s="666"/>
      <c r="B310" s="433"/>
      <c r="C310" s="433"/>
      <c r="D310" s="433"/>
      <c r="E310" s="433"/>
      <c r="F310" s="433"/>
      <c r="G310" s="433"/>
      <c r="H310" s="433"/>
      <c r="I310" s="433"/>
      <c r="J310" s="433"/>
      <c r="K310" s="433"/>
      <c r="M310" s="577" t="s">
        <v>348</v>
      </c>
      <c r="N310" s="578">
        <f>+O292</f>
        <v>1</v>
      </c>
      <c r="O310" s="578">
        <f>N310</f>
        <v>1</v>
      </c>
      <c r="P310" s="578"/>
      <c r="Q310" s="578"/>
      <c r="R310" s="579">
        <f>O291-(O308+R307)</f>
        <v>3</v>
      </c>
      <c r="S310" s="580">
        <f>N310*O310*R310*4</f>
        <v>12</v>
      </c>
      <c r="T310" s="566"/>
      <c r="U310" s="570" t="s">
        <v>349</v>
      </c>
      <c r="V310" s="581" t="e">
        <f>+R299</f>
        <v>#VALUE!</v>
      </c>
      <c r="W310" s="582">
        <f>+R303</f>
        <v>3.6</v>
      </c>
      <c r="X310" s="583">
        <f>+R301*2</f>
        <v>12</v>
      </c>
      <c r="Y310" s="584">
        <f t="shared" si="16"/>
        <v>43.2</v>
      </c>
      <c r="Z310" s="20"/>
      <c r="AA310" s="21"/>
      <c r="AB310" s="21"/>
      <c r="AC310" s="21"/>
      <c r="AD310" s="21"/>
      <c r="AE310" s="21"/>
      <c r="AF310" s="433"/>
      <c r="AG310" s="446"/>
      <c r="AH310" s="433"/>
      <c r="AI310" s="21"/>
      <c r="AJ310" s="433"/>
      <c r="AK310" s="433"/>
      <c r="AL310" s="433"/>
      <c r="AM310" s="433"/>
      <c r="AN310" s="433"/>
      <c r="AO310" s="433"/>
    </row>
    <row r="311" spans="1:41" ht="19.899999999999999" customHeight="1" thickBot="1">
      <c r="A311" s="666"/>
      <c r="B311" s="433"/>
      <c r="C311" s="433"/>
      <c r="D311" s="433"/>
      <c r="E311" s="433"/>
      <c r="F311" s="433"/>
      <c r="G311" s="433"/>
      <c r="H311" s="433"/>
      <c r="I311" s="433"/>
      <c r="J311" s="433"/>
      <c r="K311" s="433"/>
      <c r="M311" s="585" t="s">
        <v>350</v>
      </c>
      <c r="N311" s="586"/>
      <c r="O311" s="586"/>
      <c r="P311" s="586"/>
      <c r="Q311" s="586"/>
      <c r="R311" s="586"/>
      <c r="S311" s="587">
        <f>SUM(S307:S310)</f>
        <v>26.954999999999998</v>
      </c>
      <c r="T311" s="566"/>
      <c r="U311" s="570" t="e">
        <f>+IF(OR(W311=0,X311=0),0,IF(U308=0,U307+1,U308+1))</f>
        <v>#REF!</v>
      </c>
      <c r="V311" s="567" t="e">
        <f>Q299</f>
        <v>#VALUE!</v>
      </c>
      <c r="W311" s="571">
        <f>+Q303</f>
        <v>4.8499999999999996</v>
      </c>
      <c r="X311" s="567" t="e">
        <f>+Q301*2</f>
        <v>#REF!</v>
      </c>
      <c r="Y311" s="572" t="e">
        <f t="shared" si="16"/>
        <v>#REF!</v>
      </c>
      <c r="Z311" s="565"/>
      <c r="AA311" s="565"/>
      <c r="AB311" s="21"/>
      <c r="AC311" s="21"/>
      <c r="AD311" s="21"/>
      <c r="AE311" s="21"/>
      <c r="AF311" s="433"/>
      <c r="AG311" s="446"/>
      <c r="AH311" s="433"/>
      <c r="AI311" s="21"/>
      <c r="AJ311" s="433"/>
      <c r="AK311" s="433"/>
      <c r="AL311" s="433"/>
      <c r="AM311" s="433"/>
      <c r="AN311" s="433"/>
      <c r="AO311" s="433"/>
    </row>
    <row r="312" spans="1:41" ht="19.899999999999999" customHeight="1" thickBot="1">
      <c r="A312" s="666"/>
      <c r="B312" s="433"/>
      <c r="C312" s="433"/>
      <c r="D312" s="433"/>
      <c r="E312" s="433"/>
      <c r="F312" s="433"/>
      <c r="G312" s="433"/>
      <c r="H312" s="433"/>
      <c r="I312" s="433"/>
      <c r="J312" s="433"/>
      <c r="K312" s="433"/>
      <c r="M312" s="588" t="s">
        <v>351</v>
      </c>
      <c r="N312" s="589">
        <f>N307+0.1*2</f>
        <v>5.2</v>
      </c>
      <c r="O312" s="552">
        <f>O307+0.1*2</f>
        <v>6.2</v>
      </c>
      <c r="P312" s="552">
        <f>P307-0.1*2</f>
        <v>9.9999999999999978E-2</v>
      </c>
      <c r="Q312" s="552">
        <f>Q307-0.1*2</f>
        <v>9.9999999999999978E-2</v>
      </c>
      <c r="R312" s="554">
        <v>0.1</v>
      </c>
      <c r="S312" s="590">
        <f>(N312*O312-P312*Q312)*R312</f>
        <v>3.2230000000000008</v>
      </c>
      <c r="T312" s="566"/>
      <c r="U312" s="570">
        <v>4</v>
      </c>
      <c r="V312" s="591" t="e">
        <f>+S299</f>
        <v>#REF!</v>
      </c>
      <c r="W312" s="592">
        <f>+S303</f>
        <v>5.85</v>
      </c>
      <c r="X312" s="593" t="e">
        <f>+(S302+S301)*2+S294</f>
        <v>#REF!</v>
      </c>
      <c r="Y312" s="594" t="e">
        <f t="shared" si="16"/>
        <v>#REF!</v>
      </c>
      <c r="Z312" s="20" t="e">
        <f>+Y312+Y313</f>
        <v>#REF!</v>
      </c>
      <c r="AA312" s="21" t="e">
        <f>+X312+X313</f>
        <v>#REF!</v>
      </c>
      <c r="AB312" s="595" t="s">
        <v>352</v>
      </c>
      <c r="AC312" s="595"/>
      <c r="AD312" s="433"/>
      <c r="AE312" s="433"/>
      <c r="AF312" s="433"/>
      <c r="AG312" s="446"/>
      <c r="AH312" s="433"/>
      <c r="AI312" s="21"/>
      <c r="AJ312" s="441"/>
      <c r="AK312" s="441"/>
      <c r="AL312" s="433"/>
      <c r="AM312" s="433"/>
      <c r="AN312" s="433"/>
      <c r="AO312" s="433"/>
    </row>
    <row r="313" spans="1:41" ht="19.899999999999999" customHeight="1" thickBot="1">
      <c r="A313" s="666"/>
      <c r="B313" s="433"/>
      <c r="C313" s="433"/>
      <c r="D313" s="433"/>
      <c r="E313" s="433"/>
      <c r="F313" s="433"/>
      <c r="G313" s="433"/>
      <c r="H313" s="433"/>
      <c r="I313" s="433"/>
      <c r="J313" s="433"/>
      <c r="K313" s="433"/>
      <c r="M313" s="596" t="s">
        <v>353</v>
      </c>
      <c r="N313" s="597">
        <f>N307+R313*2</f>
        <v>5</v>
      </c>
      <c r="O313" s="597">
        <f>O307+R313*2</f>
        <v>6</v>
      </c>
      <c r="P313" s="597">
        <f>N313+R313*2</f>
        <v>5</v>
      </c>
      <c r="Q313" s="597">
        <f>O313+R313*2</f>
        <v>6</v>
      </c>
      <c r="R313" s="598">
        <v>0</v>
      </c>
      <c r="S313" s="599">
        <f>R313/6*((N313*O313)+(N313+P313)*(O313+Q313)+(P313*Q313))</f>
        <v>0</v>
      </c>
      <c r="T313" s="566"/>
      <c r="U313" s="570" t="s">
        <v>354</v>
      </c>
      <c r="V313" s="600" t="e">
        <f>+T299</f>
        <v>#REF!</v>
      </c>
      <c r="W313" s="601">
        <f>+T303</f>
        <v>5.85</v>
      </c>
      <c r="X313" s="600" t="e">
        <f>+(T302+T301)*2</f>
        <v>#REF!</v>
      </c>
      <c r="Y313" s="602" t="e">
        <f t="shared" si="16"/>
        <v>#REF!</v>
      </c>
      <c r="Z313" s="20"/>
      <c r="AA313" s="21"/>
      <c r="AB313" s="595" t="s">
        <v>355</v>
      </c>
      <c r="AC313" s="595"/>
      <c r="AD313" s="433"/>
      <c r="AE313" s="433"/>
      <c r="AF313" s="433"/>
      <c r="AG313" s="446"/>
      <c r="AH313" s="433"/>
      <c r="AI313" s="21"/>
      <c r="AJ313" s="441"/>
      <c r="AK313" s="433"/>
      <c r="AL313" s="433"/>
      <c r="AM313" s="441"/>
      <c r="AN313" s="433"/>
      <c r="AO313" s="433"/>
    </row>
    <row r="314" spans="1:41" ht="19.899999999999999" customHeight="1" thickBot="1">
      <c r="A314" s="666"/>
      <c r="B314" s="433"/>
      <c r="C314" s="433"/>
      <c r="D314" s="433"/>
      <c r="E314" s="433"/>
      <c r="F314" s="433"/>
      <c r="G314" s="433"/>
      <c r="H314" s="433"/>
      <c r="I314" s="433"/>
      <c r="J314" s="433"/>
      <c r="K314" s="433"/>
      <c r="M314" s="603" t="s">
        <v>356</v>
      </c>
      <c r="N314" s="552">
        <f>N313</f>
        <v>5</v>
      </c>
      <c r="O314" s="552">
        <f>O313</f>
        <v>6</v>
      </c>
      <c r="P314" s="552">
        <f>N314+R314*2</f>
        <v>12.2</v>
      </c>
      <c r="Q314" s="552">
        <f>O314+R314*2</f>
        <v>13.2</v>
      </c>
      <c r="R314" s="554">
        <f>+O291+R313+R312</f>
        <v>3.6</v>
      </c>
      <c r="S314" s="604">
        <f>R314/6*((N314*O314)+(N314+P314)*(O314+Q314)+(P314*Q314))</f>
        <v>312.76799999999997</v>
      </c>
      <c r="T314" s="566"/>
      <c r="U314" s="570" t="s">
        <v>357</v>
      </c>
      <c r="V314" s="433" t="e">
        <f>+Y299</f>
        <v>#REF!</v>
      </c>
      <c r="W314" s="571">
        <f>+Y303</f>
        <v>0</v>
      </c>
      <c r="X314" s="433" t="e">
        <f>+(Y301+Y302)*2</f>
        <v>#REF!</v>
      </c>
      <c r="Y314" s="572" t="e">
        <f t="shared" si="16"/>
        <v>#REF!</v>
      </c>
      <c r="Z314" s="20" t="e">
        <f>+Y314+Y315</f>
        <v>#REF!</v>
      </c>
      <c r="AA314" s="21" t="e">
        <f>+X314+X315</f>
        <v>#REF!</v>
      </c>
      <c r="AB314" s="605" t="s">
        <v>358</v>
      </c>
      <c r="AC314" s="605"/>
      <c r="AD314" s="433"/>
      <c r="AE314" s="433"/>
      <c r="AF314" s="433"/>
      <c r="AG314" s="446"/>
      <c r="AH314" s="433"/>
      <c r="AI314" s="21"/>
      <c r="AJ314" s="441"/>
      <c r="AK314" s="433"/>
      <c r="AL314" s="433"/>
      <c r="AM314" s="441"/>
      <c r="AN314" s="433"/>
      <c r="AO314" s="433"/>
    </row>
    <row r="315" spans="1:41" ht="19.899999999999999" customHeight="1" thickBot="1">
      <c r="A315" s="666"/>
      <c r="B315" s="433"/>
      <c r="C315" s="433"/>
      <c r="D315" s="433"/>
      <c r="E315" s="433"/>
      <c r="F315" s="433"/>
      <c r="G315" s="433"/>
      <c r="H315" s="433"/>
      <c r="I315" s="433"/>
      <c r="J315" s="433"/>
      <c r="K315" s="433"/>
      <c r="M315" s="606" t="s">
        <v>359</v>
      </c>
      <c r="N315" s="607">
        <f>N307</f>
        <v>5</v>
      </c>
      <c r="O315" s="607">
        <f>O307</f>
        <v>6</v>
      </c>
      <c r="P315" s="608">
        <f>N315+R315*2</f>
        <v>6</v>
      </c>
      <c r="Q315" s="608">
        <f>O315+R315*2</f>
        <v>7</v>
      </c>
      <c r="R315" s="608">
        <v>0.5</v>
      </c>
      <c r="S315" s="604">
        <f>(R315/6*((N315*O315)+(N315+P315)*(O315+Q315)+(P315*Q315)))-(N310*O310*R315*4)</f>
        <v>15.916666666666664</v>
      </c>
      <c r="T315" s="566"/>
      <c r="U315" s="570" t="s">
        <v>360</v>
      </c>
      <c r="V315" s="475" t="e">
        <f>+Z299</f>
        <v>#REF!</v>
      </c>
      <c r="W315" s="571">
        <f>+Z303</f>
        <v>0</v>
      </c>
      <c r="X315" s="567" t="e">
        <f>+(Z301+Z302)*2</f>
        <v>#REF!</v>
      </c>
      <c r="Y315" s="572" t="e">
        <f t="shared" si="16"/>
        <v>#REF!</v>
      </c>
      <c r="Z315" s="22"/>
      <c r="AA315" s="21"/>
      <c r="AB315" s="605" t="s">
        <v>361</v>
      </c>
      <c r="AC315" s="433"/>
      <c r="AD315" s="433"/>
      <c r="AE315" s="433"/>
      <c r="AF315" s="433"/>
      <c r="AG315" s="446"/>
      <c r="AH315" s="433"/>
      <c r="AI315" s="433"/>
      <c r="AJ315" s="441"/>
      <c r="AK315" s="433"/>
      <c r="AL315" s="447"/>
      <c r="AM315" s="433"/>
      <c r="AN315" s="433"/>
      <c r="AO315" s="441"/>
    </row>
    <row r="316" spans="1:41" ht="19.899999999999999" customHeight="1" thickBot="1">
      <c r="A316" s="666"/>
      <c r="B316" s="433"/>
      <c r="C316" s="433"/>
      <c r="D316" s="433"/>
      <c r="E316" s="433"/>
      <c r="F316" s="433"/>
      <c r="G316" s="433"/>
      <c r="H316" s="433"/>
      <c r="I316" s="433"/>
      <c r="J316" s="433"/>
      <c r="K316" s="433"/>
      <c r="M316" s="606" t="s">
        <v>362</v>
      </c>
      <c r="N316" s="608"/>
      <c r="O316" s="608"/>
      <c r="P316" s="608"/>
      <c r="Q316" s="608"/>
      <c r="R316" s="608"/>
      <c r="S316" s="609">
        <f>S314-S313-S312-S311+S315+(N310*O310*(1-R315)*4)</f>
        <v>300.50666666666666</v>
      </c>
      <c r="T316" s="566"/>
      <c r="U316" s="570" t="s">
        <v>363</v>
      </c>
      <c r="V316" s="475" t="e">
        <f>+AC299</f>
        <v>#REF!</v>
      </c>
      <c r="W316" s="610">
        <f>+AC303</f>
        <v>0</v>
      </c>
      <c r="X316" s="567" t="e">
        <f>+(AC301+AC302)*2</f>
        <v>#REF!</v>
      </c>
      <c r="Y316" s="572" t="e">
        <f t="shared" si="16"/>
        <v>#REF!</v>
      </c>
      <c r="Z316" s="20"/>
      <c r="AA316" s="21"/>
      <c r="AB316" s="605" t="s">
        <v>364</v>
      </c>
      <c r="AC316" s="464"/>
      <c r="AD316" s="433"/>
      <c r="AE316" s="433"/>
      <c r="AF316" s="433"/>
      <c r="AG316" s="446"/>
      <c r="AH316" s="433"/>
      <c r="AI316" s="433"/>
      <c r="AJ316" s="441"/>
      <c r="AK316" s="433"/>
      <c r="AL316" s="611"/>
      <c r="AM316" s="433"/>
      <c r="AN316" s="433"/>
      <c r="AO316" s="433"/>
    </row>
    <row r="317" spans="1:41" ht="19.899999999999999" customHeight="1">
      <c r="A317" s="666"/>
      <c r="B317" s="433"/>
      <c r="C317" s="433"/>
      <c r="D317" s="433"/>
      <c r="E317" s="433"/>
      <c r="F317" s="433"/>
      <c r="G317" s="433"/>
      <c r="H317" s="433"/>
      <c r="I317" s="433"/>
      <c r="J317" s="433"/>
      <c r="K317" s="433"/>
      <c r="M317" s="612"/>
      <c r="N317" s="556"/>
      <c r="O317" s="556"/>
      <c r="P317" s="556"/>
      <c r="Q317" s="556"/>
      <c r="R317" s="556"/>
      <c r="S317" s="613"/>
      <c r="T317" s="566"/>
      <c r="U317" s="570" t="s">
        <v>365</v>
      </c>
      <c r="V317" s="475" t="e">
        <f>+AD299</f>
        <v>#REF!</v>
      </c>
      <c r="W317" s="610">
        <f>+AD303</f>
        <v>0</v>
      </c>
      <c r="X317" s="567" t="e">
        <f>+(AD301+AD302)*2</f>
        <v>#REF!</v>
      </c>
      <c r="Y317" s="572" t="e">
        <f t="shared" si="16"/>
        <v>#REF!</v>
      </c>
      <c r="Z317" s="43"/>
      <c r="AA317" s="21"/>
      <c r="AB317" s="605" t="s">
        <v>366</v>
      </c>
      <c r="AC317" s="464"/>
      <c r="AD317" s="433"/>
      <c r="AE317" s="433"/>
      <c r="AF317" s="433"/>
      <c r="AG317" s="446"/>
      <c r="AH317" s="433"/>
      <c r="AI317" s="433"/>
      <c r="AJ317" s="441"/>
      <c r="AK317" s="433"/>
      <c r="AL317" s="611"/>
      <c r="AM317" s="433"/>
      <c r="AN317" s="433"/>
      <c r="AO317" s="433"/>
    </row>
    <row r="318" spans="1:41" ht="19.899999999999999" customHeight="1" thickBot="1">
      <c r="A318" s="666"/>
      <c r="B318" s="433"/>
      <c r="C318" s="433"/>
      <c r="D318" s="433"/>
      <c r="E318" s="433"/>
      <c r="F318" s="433"/>
      <c r="G318" s="433"/>
      <c r="H318" s="433"/>
      <c r="I318" s="433"/>
      <c r="J318" s="433"/>
      <c r="K318" s="433"/>
      <c r="M318" s="614" t="s">
        <v>367</v>
      </c>
      <c r="N318" s="21"/>
      <c r="O318" s="21"/>
      <c r="P318" s="21"/>
      <c r="Q318" s="21"/>
      <c r="R318" s="21"/>
      <c r="S318" s="605"/>
      <c r="T318" s="566"/>
      <c r="U318" s="570">
        <v>5</v>
      </c>
      <c r="V318" s="567" t="e">
        <f>+U299</f>
        <v>#REF!</v>
      </c>
      <c r="W318" s="571">
        <f>+U303</f>
        <v>2.7</v>
      </c>
      <c r="X318" s="567" t="e">
        <f>+U301*4</f>
        <v>#REF!</v>
      </c>
      <c r="Y318" s="572" t="e">
        <f t="shared" si="16"/>
        <v>#REF!</v>
      </c>
      <c r="Z318" s="21"/>
      <c r="AA318" s="433"/>
      <c r="AB318" s="595" t="s">
        <v>368</v>
      </c>
      <c r="AC318" s="595"/>
      <c r="AD318" s="433"/>
      <c r="AE318" s="433"/>
      <c r="AF318" s="433"/>
      <c r="AG318" s="446"/>
      <c r="AH318" s="433"/>
      <c r="AI318" s="433"/>
      <c r="AJ318" s="433"/>
      <c r="AK318" s="433"/>
      <c r="AL318" s="433"/>
      <c r="AM318" s="433"/>
      <c r="AN318" s="433"/>
      <c r="AO318" s="433"/>
    </row>
    <row r="319" spans="1:41" ht="19.899999999999999" customHeight="1" thickBot="1">
      <c r="A319" s="666"/>
      <c r="B319" s="433"/>
      <c r="C319" s="433"/>
      <c r="D319" s="433"/>
      <c r="E319" s="433"/>
      <c r="F319" s="433"/>
      <c r="G319" s="433"/>
      <c r="H319" s="433"/>
      <c r="I319" s="433"/>
      <c r="J319" s="433"/>
      <c r="K319" s="433"/>
      <c r="M319" s="615" t="s">
        <v>56</v>
      </c>
      <c r="N319" s="616" t="s">
        <v>338</v>
      </c>
      <c r="O319" s="616" t="s">
        <v>369</v>
      </c>
      <c r="P319" s="616" t="s">
        <v>370</v>
      </c>
      <c r="Q319" s="617" t="s">
        <v>340</v>
      </c>
      <c r="R319" s="618" t="s">
        <v>371</v>
      </c>
      <c r="S319" s="605"/>
      <c r="T319" s="566"/>
      <c r="U319" s="570">
        <v>6</v>
      </c>
      <c r="V319" s="591" t="e">
        <f>+V299</f>
        <v>#REF!</v>
      </c>
      <c r="W319" s="592">
        <f>+V303</f>
        <v>4.8499999999999996</v>
      </c>
      <c r="X319" s="593" t="e">
        <f>+(V302+V301)*2+S294</f>
        <v>#REF!</v>
      </c>
      <c r="Y319" s="594" t="e">
        <f t="shared" si="16"/>
        <v>#REF!</v>
      </c>
      <c r="Z319" s="20" t="e">
        <f>+Y319+Y320</f>
        <v>#REF!</v>
      </c>
      <c r="AA319" s="21" t="e">
        <f>+X319+X320</f>
        <v>#REF!</v>
      </c>
      <c r="AB319" s="595" t="s">
        <v>372</v>
      </c>
      <c r="AC319" s="595"/>
      <c r="AD319" s="433"/>
      <c r="AE319" s="433"/>
      <c r="AF319" s="433"/>
      <c r="AG319" s="446"/>
      <c r="AH319" s="433"/>
      <c r="AI319" s="433"/>
      <c r="AJ319" s="433"/>
      <c r="AK319" s="433"/>
      <c r="AL319" s="433"/>
      <c r="AM319" s="433"/>
      <c r="AN319" s="433"/>
      <c r="AO319" s="433"/>
    </row>
    <row r="320" spans="1:41" ht="19.899999999999999" customHeight="1" thickBot="1">
      <c r="A320" s="666"/>
      <c r="B320" s="433"/>
      <c r="C320" s="433"/>
      <c r="D320" s="433"/>
      <c r="E320" s="433"/>
      <c r="F320" s="433"/>
      <c r="G320" s="433"/>
      <c r="H320" s="433"/>
      <c r="I320" s="433"/>
      <c r="J320" s="433"/>
      <c r="K320" s="433"/>
      <c r="M320" s="560">
        <v>25</v>
      </c>
      <c r="N320" s="619">
        <f t="shared" ref="N320:N328" si="17">+SUMIF($V$307:$V$332,M320,$Y$307:$Y$332)</f>
        <v>0</v>
      </c>
      <c r="O320" s="620">
        <f>+M320^2*3.14/1000000*7850/4</f>
        <v>3.8514062499999997</v>
      </c>
      <c r="P320" s="621">
        <f t="shared" ref="P320:P328" si="18">+ROUND(N320*O320,2)</f>
        <v>0</v>
      </c>
      <c r="Q320" s="622" t="e">
        <f>+SUM(P320:P328)</f>
        <v>#REF!</v>
      </c>
      <c r="R320" s="457" t="e">
        <f>+Q320/S311</f>
        <v>#REF!</v>
      </c>
      <c r="S320" s="21"/>
      <c r="T320" s="566"/>
      <c r="U320" s="570">
        <v>6</v>
      </c>
      <c r="V320" s="600" t="e">
        <f>+W299</f>
        <v>#REF!</v>
      </c>
      <c r="W320" s="601">
        <f>+W303</f>
        <v>4.8499999999999996</v>
      </c>
      <c r="X320" s="600" t="e">
        <f>+(W302+W301)*2</f>
        <v>#REF!</v>
      </c>
      <c r="Y320" s="602" t="e">
        <f t="shared" si="16"/>
        <v>#REF!</v>
      </c>
      <c r="Z320" s="20"/>
      <c r="AA320" s="21"/>
      <c r="AB320" s="595" t="s">
        <v>373</v>
      </c>
      <c r="AC320" s="595"/>
      <c r="AD320" s="433"/>
      <c r="AE320" s="433"/>
      <c r="AF320" s="433"/>
      <c r="AG320" s="446"/>
      <c r="AH320" s="433"/>
      <c r="AI320" s="433"/>
      <c r="AJ320" s="433"/>
      <c r="AK320" s="433"/>
      <c r="AL320" s="433"/>
      <c r="AM320" s="433"/>
      <c r="AN320" s="433"/>
      <c r="AO320" s="433"/>
    </row>
    <row r="321" spans="1:41" ht="19.899999999999999" customHeight="1">
      <c r="A321" s="666"/>
      <c r="B321" s="433"/>
      <c r="C321" s="433"/>
      <c r="D321" s="433"/>
      <c r="E321" s="433"/>
      <c r="F321" s="433"/>
      <c r="G321" s="433"/>
      <c r="H321" s="433"/>
      <c r="I321" s="433"/>
      <c r="J321" s="433"/>
      <c r="K321" s="433"/>
      <c r="M321" s="507">
        <v>22</v>
      </c>
      <c r="N321" s="623">
        <f t="shared" si="17"/>
        <v>0</v>
      </c>
      <c r="O321" s="624">
        <f>+M321^2*3.14/1000000*7850/4</f>
        <v>2.982529</v>
      </c>
      <c r="P321" s="625">
        <f t="shared" si="18"/>
        <v>0</v>
      </c>
      <c r="Q321" s="476"/>
      <c r="R321" s="21"/>
      <c r="S321" s="21"/>
      <c r="T321" s="566"/>
      <c r="U321" s="570" t="s">
        <v>374</v>
      </c>
      <c r="V321" s="433" t="e">
        <f>+AA299</f>
        <v>#REF!</v>
      </c>
      <c r="W321" s="626">
        <f>+AA303</f>
        <v>0</v>
      </c>
      <c r="X321" s="433" t="e">
        <f>+(AA301+AA302)*2</f>
        <v>#REF!</v>
      </c>
      <c r="Y321" s="572" t="e">
        <f t="shared" si="16"/>
        <v>#REF!</v>
      </c>
      <c r="Z321" s="20" t="e">
        <f>+Y321+Y322</f>
        <v>#REF!</v>
      </c>
      <c r="AA321" s="21" t="e">
        <f>+X321+X322</f>
        <v>#REF!</v>
      </c>
      <c r="AB321" s="605" t="s">
        <v>358</v>
      </c>
      <c r="AC321" s="595"/>
      <c r="AD321" s="433"/>
      <c r="AE321" s="433"/>
      <c r="AF321" s="433"/>
      <c r="AG321" s="446"/>
      <c r="AH321" s="433"/>
      <c r="AI321" s="433"/>
      <c r="AJ321" s="433"/>
      <c r="AK321" s="433"/>
      <c r="AL321" s="433"/>
      <c r="AM321" s="433"/>
      <c r="AN321" s="433"/>
      <c r="AO321" s="433"/>
    </row>
    <row r="322" spans="1:41" ht="19.899999999999999" customHeight="1">
      <c r="A322" s="666"/>
      <c r="B322" s="433"/>
      <c r="C322" s="433"/>
      <c r="D322" s="433"/>
      <c r="E322" s="433"/>
      <c r="F322" s="433"/>
      <c r="G322" s="433"/>
      <c r="H322" s="433"/>
      <c r="I322" s="433"/>
      <c r="J322" s="433"/>
      <c r="K322" s="433"/>
      <c r="M322" s="507">
        <v>20</v>
      </c>
      <c r="N322" s="623">
        <f t="shared" si="17"/>
        <v>0</v>
      </c>
      <c r="O322" s="624">
        <f t="shared" ref="O322:O328" si="19">+M322^2*3.14/1000000*7850/4</f>
        <v>2.4649000000000001</v>
      </c>
      <c r="P322" s="625">
        <f t="shared" si="18"/>
        <v>0</v>
      </c>
      <c r="Q322" s="476"/>
      <c r="R322" s="627"/>
      <c r="S322" s="21"/>
      <c r="T322" s="566"/>
      <c r="U322" s="570" t="s">
        <v>375</v>
      </c>
      <c r="V322" s="475" t="e">
        <f>+AB299</f>
        <v>#REF!</v>
      </c>
      <c r="W322" s="610">
        <f>+AB303</f>
        <v>0</v>
      </c>
      <c r="X322" s="567" t="e">
        <f>+(AB301+AB302)*2</f>
        <v>#REF!</v>
      </c>
      <c r="Y322" s="572" t="e">
        <f t="shared" si="16"/>
        <v>#REF!</v>
      </c>
      <c r="Z322" s="22"/>
      <c r="AA322" s="21"/>
      <c r="AB322" s="605" t="s">
        <v>361</v>
      </c>
      <c r="AC322" s="433"/>
      <c r="AD322" s="433"/>
      <c r="AE322" s="433"/>
      <c r="AF322" s="433"/>
      <c r="AG322" s="446"/>
      <c r="AH322" s="433"/>
      <c r="AI322" s="433"/>
      <c r="AJ322" s="433"/>
      <c r="AK322" s="433"/>
      <c r="AL322" s="433"/>
      <c r="AM322" s="433"/>
      <c r="AN322" s="433"/>
      <c r="AO322" s="433"/>
    </row>
    <row r="323" spans="1:41" ht="19.899999999999999" customHeight="1">
      <c r="A323" s="666"/>
      <c r="B323" s="433"/>
      <c r="C323" s="433"/>
      <c r="D323" s="433"/>
      <c r="E323" s="433"/>
      <c r="F323" s="433"/>
      <c r="G323" s="433"/>
      <c r="H323" s="433"/>
      <c r="I323" s="433"/>
      <c r="J323" s="433"/>
      <c r="K323" s="433"/>
      <c r="M323" s="628">
        <v>18</v>
      </c>
      <c r="N323" s="623">
        <f t="shared" si="17"/>
        <v>0</v>
      </c>
      <c r="O323" s="624">
        <f t="shared" si="19"/>
        <v>1.9965689999999998</v>
      </c>
      <c r="P323" s="625">
        <f t="shared" si="18"/>
        <v>0</v>
      </c>
      <c r="Q323" s="520"/>
      <c r="R323" s="21"/>
      <c r="S323" s="21"/>
      <c r="T323" s="566"/>
      <c r="U323" s="570" t="s">
        <v>376</v>
      </c>
      <c r="V323" s="475" t="e">
        <f>+AE299</f>
        <v>#REF!</v>
      </c>
      <c r="W323" s="610">
        <f>+AE303</f>
        <v>0</v>
      </c>
      <c r="X323" s="567" t="e">
        <f>+(AE301+AE302)*2</f>
        <v>#REF!</v>
      </c>
      <c r="Y323" s="572" t="e">
        <f t="shared" si="16"/>
        <v>#REF!</v>
      </c>
      <c r="Z323" s="433"/>
      <c r="AA323" s="433"/>
      <c r="AB323" s="605" t="s">
        <v>364</v>
      </c>
      <c r="AC323" s="595"/>
      <c r="AD323" s="433"/>
      <c r="AE323" s="433"/>
      <c r="AF323" s="433"/>
      <c r="AG323" s="446"/>
      <c r="AH323" s="433"/>
      <c r="AI323" s="433"/>
      <c r="AJ323" s="433"/>
      <c r="AK323" s="433"/>
      <c r="AL323" s="433"/>
      <c r="AM323" s="433"/>
      <c r="AN323" s="433"/>
      <c r="AO323" s="433"/>
    </row>
    <row r="324" spans="1:41" ht="19.899999999999999" customHeight="1">
      <c r="A324" s="666"/>
      <c r="B324" s="433"/>
      <c r="C324" s="433"/>
      <c r="D324" s="433"/>
      <c r="E324" s="433"/>
      <c r="F324" s="433"/>
      <c r="G324" s="433"/>
      <c r="H324" s="433"/>
      <c r="I324" s="433"/>
      <c r="J324" s="433"/>
      <c r="K324" s="433"/>
      <c r="M324" s="507">
        <v>16</v>
      </c>
      <c r="N324" s="623">
        <f t="shared" si="17"/>
        <v>0</v>
      </c>
      <c r="O324" s="624">
        <f t="shared" si="19"/>
        <v>1.577536</v>
      </c>
      <c r="P324" s="625">
        <f t="shared" si="18"/>
        <v>0</v>
      </c>
      <c r="Q324" s="476"/>
      <c r="R324" s="627"/>
      <c r="S324" s="21"/>
      <c r="T324" s="566"/>
      <c r="U324" s="570" t="s">
        <v>407</v>
      </c>
      <c r="V324" s="475" t="e">
        <f>+AF299</f>
        <v>#REF!</v>
      </c>
      <c r="W324" s="610">
        <f>+AF303</f>
        <v>0</v>
      </c>
      <c r="X324" s="567" t="e">
        <f>+(AF301+AF302)*2</f>
        <v>#REF!</v>
      </c>
      <c r="Y324" s="572" t="e">
        <f t="shared" si="16"/>
        <v>#REF!</v>
      </c>
      <c r="Z324" s="433"/>
      <c r="AA324" s="433"/>
      <c r="AB324" s="605" t="s">
        <v>366</v>
      </c>
      <c r="AC324" s="595"/>
      <c r="AD324" s="433"/>
      <c r="AE324" s="433"/>
      <c r="AF324" s="433"/>
      <c r="AG324" s="446"/>
      <c r="AH324" s="433"/>
      <c r="AI324" s="433"/>
      <c r="AJ324" s="433"/>
      <c r="AK324" s="433"/>
      <c r="AL324" s="433"/>
      <c r="AM324" s="433"/>
      <c r="AN324" s="433"/>
      <c r="AO324" s="433"/>
    </row>
    <row r="325" spans="1:41" ht="19.899999999999999" customHeight="1">
      <c r="A325" s="666"/>
      <c r="B325" s="433"/>
      <c r="C325" s="433"/>
      <c r="D325" s="433"/>
      <c r="E325" s="433"/>
      <c r="F325" s="433"/>
      <c r="G325" s="433"/>
      <c r="H325" s="433"/>
      <c r="I325" s="433"/>
      <c r="J325" s="433"/>
      <c r="K325" s="433"/>
      <c r="M325" s="628">
        <v>14</v>
      </c>
      <c r="N325" s="623">
        <f t="shared" si="17"/>
        <v>0</v>
      </c>
      <c r="O325" s="624">
        <f t="shared" si="19"/>
        <v>1.2078010000000001</v>
      </c>
      <c r="P325" s="625">
        <f t="shared" si="18"/>
        <v>0</v>
      </c>
      <c r="Q325" s="520"/>
      <c r="R325" s="627"/>
      <c r="S325" s="21"/>
      <c r="T325" s="566"/>
      <c r="U325" s="570">
        <v>7</v>
      </c>
      <c r="V325" s="475" t="e">
        <f>+X299</f>
        <v>#REF!</v>
      </c>
      <c r="W325" s="571">
        <f>+X303</f>
        <v>2.2000000000000002</v>
      </c>
      <c r="X325" s="567" t="e">
        <f>+X301*4</f>
        <v>#REF!</v>
      </c>
      <c r="Y325" s="572" t="e">
        <f t="shared" si="16"/>
        <v>#REF!</v>
      </c>
      <c r="Z325" s="21"/>
      <c r="AA325" s="21"/>
      <c r="AB325" s="595" t="s">
        <v>377</v>
      </c>
      <c r="AC325" s="595"/>
      <c r="AD325" s="433"/>
      <c r="AE325" s="433"/>
      <c r="AF325" s="433"/>
      <c r="AG325" s="446"/>
      <c r="AH325" s="433"/>
      <c r="AI325" s="433"/>
      <c r="AJ325" s="433"/>
      <c r="AK325" s="433"/>
      <c r="AL325" s="433"/>
      <c r="AM325" s="433"/>
      <c r="AN325" s="433"/>
      <c r="AO325" s="433"/>
    </row>
    <row r="326" spans="1:41" ht="19.899999999999999" customHeight="1">
      <c r="A326" s="666"/>
      <c r="B326" s="433"/>
      <c r="C326" s="433"/>
      <c r="D326" s="433"/>
      <c r="E326" s="433"/>
      <c r="F326" s="433"/>
      <c r="G326" s="433"/>
      <c r="H326" s="433"/>
      <c r="I326" s="433"/>
      <c r="J326" s="433"/>
      <c r="K326" s="433"/>
      <c r="M326" s="628">
        <v>12</v>
      </c>
      <c r="N326" s="623">
        <f t="shared" si="17"/>
        <v>0</v>
      </c>
      <c r="O326" s="624">
        <f t="shared" si="19"/>
        <v>0.88736400000000004</v>
      </c>
      <c r="P326" s="625">
        <f t="shared" si="18"/>
        <v>0</v>
      </c>
      <c r="Q326" s="520"/>
      <c r="R326" s="433"/>
      <c r="S326" s="21"/>
      <c r="T326" s="566"/>
      <c r="U326" s="570">
        <v>8</v>
      </c>
      <c r="V326" s="475">
        <v>10</v>
      </c>
      <c r="W326" s="571" t="e">
        <f>+O289-2*O295-2*S299/1000+0.1</f>
        <v>#REF!</v>
      </c>
      <c r="X326" s="567" t="e">
        <f>+ROUND(S301/2-0.5,0)*ROUND(V301/2-0.5,0)*4+ROUND(S301/2-0.5,0)*ROUND(W301/2-0.5,0)*4+ROUND(T301/2-0.5,0)*ROUND(V301/2-0.5,0)*4+ROUND(T301/2-0.5,0)*ROUND(W301/2-0.5,0)*4+ROUND(U301/2-0.5,0)*(ROUND(V301/2-0.5,0)+ROUND(W301/2-0.5,0))*2+ROUND(X301/2-0.5,0)*(ROUND(S301/2-0.5,0)+ROUND(T301/2-0.5,0))*2</f>
        <v>#REF!</v>
      </c>
      <c r="Y326" s="572" t="e">
        <f t="shared" si="16"/>
        <v>#REF!</v>
      </c>
      <c r="Z326" s="21" t="e">
        <f>+O289-2*O295-2*S299/1000</f>
        <v>#REF!</v>
      </c>
      <c r="AA326" s="21"/>
      <c r="AB326" s="595" t="s">
        <v>378</v>
      </c>
      <c r="AC326" s="595"/>
      <c r="AD326" s="433"/>
      <c r="AE326" s="433"/>
      <c r="AF326" s="433"/>
      <c r="AG326" s="446"/>
      <c r="AH326" s="433"/>
      <c r="AI326" s="433"/>
      <c r="AJ326" s="433"/>
      <c r="AK326" s="433"/>
      <c r="AL326" s="433"/>
      <c r="AM326" s="433"/>
      <c r="AN326" s="433"/>
      <c r="AO326" s="433"/>
    </row>
    <row r="327" spans="1:41" ht="19.899999999999999" customHeight="1">
      <c r="A327" s="666"/>
      <c r="B327" s="433"/>
      <c r="C327" s="433"/>
      <c r="D327" s="433"/>
      <c r="E327" s="433"/>
      <c r="F327" s="433"/>
      <c r="G327" s="433"/>
      <c r="H327" s="433"/>
      <c r="I327" s="433"/>
      <c r="J327" s="433"/>
      <c r="K327" s="433"/>
      <c r="M327" s="628">
        <v>10</v>
      </c>
      <c r="N327" s="623" t="e">
        <f t="shared" si="17"/>
        <v>#REF!</v>
      </c>
      <c r="O327" s="624">
        <f t="shared" si="19"/>
        <v>0.61622500000000002</v>
      </c>
      <c r="P327" s="625" t="e">
        <f t="shared" si="18"/>
        <v>#REF!</v>
      </c>
      <c r="Q327" s="520"/>
      <c r="R327" s="43"/>
      <c r="S327" s="21"/>
      <c r="T327" s="566"/>
      <c r="U327" s="570">
        <v>9</v>
      </c>
      <c r="V327" s="629">
        <v>8</v>
      </c>
      <c r="W327" s="571">
        <f>+(O293-2*O295+0.02)*2+(O290-2*O295+0.02)*2+0.06*2</f>
        <v>2.6</v>
      </c>
      <c r="X327" s="630">
        <f>+S295+4</f>
        <v>56</v>
      </c>
      <c r="Y327" s="572">
        <f t="shared" si="16"/>
        <v>145.6</v>
      </c>
      <c r="Z327" s="21">
        <f>+(O293-2*O295+0.02)</f>
        <v>0.87</v>
      </c>
      <c r="AA327" s="21">
        <f>+(O290-2*O295+0.02)</f>
        <v>0.37</v>
      </c>
      <c r="AB327" s="595" t="s">
        <v>379</v>
      </c>
      <c r="AC327" s="595"/>
      <c r="AD327" s="433"/>
      <c r="AE327" s="433"/>
      <c r="AF327" s="433"/>
      <c r="AG327" s="446"/>
      <c r="AH327" s="433"/>
      <c r="AI327" s="433"/>
      <c r="AJ327" s="433"/>
      <c r="AK327" s="433"/>
      <c r="AL327" s="433"/>
      <c r="AM327" s="433"/>
      <c r="AN327" s="433"/>
      <c r="AO327" s="433"/>
    </row>
    <row r="328" spans="1:41" ht="19.899999999999999" customHeight="1" thickBot="1">
      <c r="A328" s="666"/>
      <c r="B328" s="433"/>
      <c r="C328" s="433"/>
      <c r="D328" s="433"/>
      <c r="E328" s="433"/>
      <c r="F328" s="433"/>
      <c r="G328" s="433"/>
      <c r="H328" s="433"/>
      <c r="I328" s="433"/>
      <c r="J328" s="433"/>
      <c r="K328" s="433"/>
      <c r="M328" s="631">
        <v>8</v>
      </c>
      <c r="N328" s="632">
        <f t="shared" si="17"/>
        <v>513.44000000000005</v>
      </c>
      <c r="O328" s="633">
        <f t="shared" si="19"/>
        <v>0.39438400000000001</v>
      </c>
      <c r="P328" s="634">
        <f t="shared" si="18"/>
        <v>202.49</v>
      </c>
      <c r="Q328" s="635"/>
      <c r="R328" s="433"/>
      <c r="S328" s="21"/>
      <c r="T328" s="566"/>
      <c r="U328" s="570" t="s">
        <v>380</v>
      </c>
      <c r="V328" s="629">
        <v>8</v>
      </c>
      <c r="W328" s="571">
        <f>+AA328*2+Z328*2+0.12</f>
        <v>0.86</v>
      </c>
      <c r="X328" s="630">
        <v>0</v>
      </c>
      <c r="Y328" s="572">
        <f t="shared" si="16"/>
        <v>0</v>
      </c>
      <c r="Z328" s="636">
        <v>0</v>
      </c>
      <c r="AA328" s="21">
        <f>+(O290-2*O295+0.02)</f>
        <v>0.37</v>
      </c>
      <c r="AB328" s="595" t="s">
        <v>381</v>
      </c>
      <c r="AC328" s="595"/>
      <c r="AD328" s="433"/>
      <c r="AE328" s="433"/>
      <c r="AF328" s="433"/>
      <c r="AG328" s="446"/>
      <c r="AH328" s="433"/>
      <c r="AI328" s="433"/>
      <c r="AJ328" s="433"/>
      <c r="AK328" s="433"/>
      <c r="AL328" s="433"/>
      <c r="AM328" s="433"/>
      <c r="AN328" s="433"/>
      <c r="AO328" s="433"/>
    </row>
    <row r="329" spans="1:41" ht="19.899999999999999" customHeight="1" thickBot="1">
      <c r="A329" s="666"/>
      <c r="B329" s="433"/>
      <c r="C329" s="433"/>
      <c r="D329" s="433"/>
      <c r="E329" s="433"/>
      <c r="F329" s="433"/>
      <c r="G329" s="433"/>
      <c r="H329" s="433"/>
      <c r="I329" s="433"/>
      <c r="J329" s="433"/>
      <c r="K329" s="433"/>
      <c r="M329" s="22"/>
      <c r="N329" s="637"/>
      <c r="O329" s="637"/>
      <c r="P329" s="458"/>
      <c r="Q329" s="638"/>
      <c r="R329" s="433"/>
      <c r="S329" s="21"/>
      <c r="T329" s="566"/>
      <c r="U329" s="570" t="s">
        <v>382</v>
      </c>
      <c r="V329" s="629">
        <v>8</v>
      </c>
      <c r="W329" s="571">
        <f>+Z329+0.12</f>
        <v>0.12</v>
      </c>
      <c r="X329" s="630">
        <f>+X328*2</f>
        <v>0</v>
      </c>
      <c r="Y329" s="572">
        <f t="shared" si="16"/>
        <v>0</v>
      </c>
      <c r="Z329" s="636">
        <v>0</v>
      </c>
      <c r="AA329" s="21"/>
      <c r="AB329" s="595" t="s">
        <v>383</v>
      </c>
      <c r="AC329" s="595"/>
      <c r="AD329" s="433"/>
      <c r="AE329" s="433"/>
      <c r="AF329" s="433"/>
      <c r="AG329" s="446"/>
      <c r="AH329" s="433"/>
      <c r="AI329" s="433"/>
      <c r="AJ329" s="433"/>
      <c r="AK329" s="433"/>
      <c r="AL329" s="433"/>
      <c r="AM329" s="433"/>
      <c r="AN329" s="433"/>
      <c r="AO329" s="433"/>
    </row>
    <row r="330" spans="1:41" ht="19.899999999999999" customHeight="1">
      <c r="A330" s="666"/>
      <c r="B330" s="433"/>
      <c r="C330" s="433"/>
      <c r="D330" s="433"/>
      <c r="E330" s="433"/>
      <c r="F330" s="433"/>
      <c r="G330" s="433"/>
      <c r="H330" s="433"/>
      <c r="I330" s="433"/>
      <c r="J330" s="433"/>
      <c r="K330" s="433"/>
      <c r="M330" s="440"/>
      <c r="N330" s="433"/>
      <c r="O330" s="433"/>
      <c r="P330" s="639"/>
      <c r="Q330" s="433"/>
      <c r="R330" s="433"/>
      <c r="S330" s="21"/>
      <c r="T330" s="566"/>
      <c r="U330" s="570">
        <v>10</v>
      </c>
      <c r="V330" s="640">
        <v>8</v>
      </c>
      <c r="W330" s="571">
        <f>+(O292-2*O295+0.02)*4+0.06*2</f>
        <v>3.6</v>
      </c>
      <c r="X330" s="641">
        <f>+(ROUND((O291-0.175)/0.25-0.5,0)+2)*4</f>
        <v>60</v>
      </c>
      <c r="Y330" s="572">
        <f t="shared" si="16"/>
        <v>216</v>
      </c>
      <c r="Z330" s="21">
        <f>+O292-2*O295+0.02</f>
        <v>0.87</v>
      </c>
      <c r="AA330" s="21"/>
      <c r="AB330" s="433"/>
      <c r="AC330" s="433"/>
      <c r="AD330" s="433"/>
      <c r="AE330" s="433"/>
      <c r="AF330" s="433"/>
      <c r="AG330" s="446"/>
      <c r="AH330" s="433"/>
      <c r="AI330" s="433"/>
      <c r="AJ330" s="433"/>
      <c r="AK330" s="433"/>
      <c r="AL330" s="433"/>
      <c r="AM330" s="433"/>
      <c r="AN330" s="433"/>
      <c r="AO330" s="433"/>
    </row>
    <row r="331" spans="1:41" ht="19.899999999999999" customHeight="1">
      <c r="A331" s="666"/>
      <c r="B331" s="433"/>
      <c r="C331" s="433"/>
      <c r="D331" s="433"/>
      <c r="E331" s="433"/>
      <c r="F331" s="433"/>
      <c r="G331" s="433"/>
      <c r="H331" s="433"/>
      <c r="I331" s="433"/>
      <c r="J331" s="433"/>
      <c r="K331" s="433"/>
      <c r="M331" s="440"/>
      <c r="N331" s="433"/>
      <c r="O331" s="433"/>
      <c r="P331" s="639"/>
      <c r="Q331" s="433"/>
      <c r="R331" s="433"/>
      <c r="S331" s="433"/>
      <c r="T331" s="566"/>
      <c r="U331" s="570">
        <v>11</v>
      </c>
      <c r="V331" s="640">
        <v>8</v>
      </c>
      <c r="W331" s="571">
        <f>Z331*4+AA331*4+0.06*2</f>
        <v>2.92</v>
      </c>
      <c r="X331" s="567">
        <f>+X330-4*2</f>
        <v>52</v>
      </c>
      <c r="Y331" s="572">
        <f t="shared" si="16"/>
        <v>151.84</v>
      </c>
      <c r="Z331" s="642">
        <v>0.7</v>
      </c>
      <c r="AA331" s="642">
        <v>0</v>
      </c>
      <c r="AB331" s="433"/>
      <c r="AC331" s="433"/>
      <c r="AD331" s="433"/>
      <c r="AE331" s="433"/>
      <c r="AF331" s="433"/>
      <c r="AG331" s="446"/>
      <c r="AH331" s="433"/>
      <c r="AI331" s="433"/>
      <c r="AJ331" s="433"/>
      <c r="AK331" s="433"/>
      <c r="AL331" s="433"/>
      <c r="AM331" s="433"/>
      <c r="AN331" s="433"/>
      <c r="AO331" s="433"/>
    </row>
    <row r="332" spans="1:41" ht="19.899999999999999" customHeight="1" thickBot="1">
      <c r="A332" s="666"/>
      <c r="B332" s="433"/>
      <c r="C332" s="433"/>
      <c r="D332" s="433"/>
      <c r="E332" s="433"/>
      <c r="F332" s="433"/>
      <c r="G332" s="433"/>
      <c r="H332" s="433"/>
      <c r="I332" s="433"/>
      <c r="J332" s="433"/>
      <c r="K332" s="433"/>
      <c r="M332" s="440"/>
      <c r="N332" s="433"/>
      <c r="O332" s="433"/>
      <c r="P332" s="433"/>
      <c r="Q332" s="433"/>
      <c r="R332" s="433"/>
      <c r="S332" s="433"/>
      <c r="T332" s="643"/>
      <c r="U332" s="644">
        <v>12</v>
      </c>
      <c r="V332" s="645">
        <v>10</v>
      </c>
      <c r="W332" s="646">
        <f>+O292+0.04</f>
        <v>1.04</v>
      </c>
      <c r="X332" s="647">
        <f>+R296*4</f>
        <v>144</v>
      </c>
      <c r="Y332" s="648">
        <f t="shared" si="16"/>
        <v>149.76</v>
      </c>
      <c r="Z332" s="565"/>
      <c r="AA332" s="565"/>
      <c r="AB332" s="21"/>
      <c r="AC332" s="21"/>
      <c r="AD332" s="433"/>
      <c r="AE332" s="433"/>
      <c r="AF332" s="433"/>
      <c r="AG332" s="446"/>
      <c r="AH332" s="433"/>
      <c r="AI332" s="433"/>
      <c r="AJ332" s="433"/>
      <c r="AK332" s="433"/>
      <c r="AL332" s="433"/>
      <c r="AM332" s="433"/>
      <c r="AN332" s="433"/>
      <c r="AO332" s="433"/>
    </row>
    <row r="333" spans="1:41" ht="19.899999999999999" customHeight="1">
      <c r="A333" s="666"/>
      <c r="B333" s="433"/>
      <c r="C333" s="433"/>
      <c r="D333" s="433"/>
      <c r="E333" s="433"/>
      <c r="F333" s="433"/>
      <c r="G333" s="433"/>
      <c r="H333" s="433"/>
      <c r="I333" s="433"/>
      <c r="J333" s="433"/>
      <c r="K333" s="433"/>
      <c r="M333" s="440"/>
      <c r="N333" s="433"/>
      <c r="O333" s="433"/>
      <c r="P333" s="433"/>
      <c r="Q333" s="433"/>
      <c r="R333" s="433"/>
      <c r="S333" s="433"/>
      <c r="T333" s="556"/>
      <c r="U333" s="433"/>
      <c r="V333" s="433"/>
      <c r="W333" s="433"/>
      <c r="X333" s="433"/>
      <c r="Y333" s="433"/>
      <c r="Z333" s="433"/>
      <c r="AA333" s="433"/>
      <c r="AB333" s="433"/>
      <c r="AC333" s="433"/>
      <c r="AD333" s="433"/>
      <c r="AE333" s="433"/>
      <c r="AF333" s="433"/>
      <c r="AG333" s="446"/>
      <c r="AH333" s="433"/>
      <c r="AI333" s="433"/>
      <c r="AJ333" s="433"/>
      <c r="AK333" s="433"/>
      <c r="AL333" s="433"/>
      <c r="AM333" s="433"/>
      <c r="AN333" s="433"/>
      <c r="AO333" s="433"/>
    </row>
    <row r="334" spans="1:41" ht="19.899999999999999" customHeight="1">
      <c r="A334" s="666"/>
      <c r="B334" s="433"/>
      <c r="C334" s="433"/>
      <c r="D334" s="433"/>
      <c r="E334" s="433"/>
      <c r="F334" s="433"/>
      <c r="G334" s="433"/>
      <c r="H334" s="433"/>
      <c r="I334" s="433"/>
      <c r="J334" s="433"/>
      <c r="K334" s="433"/>
      <c r="M334" s="22"/>
      <c r="N334" s="565"/>
      <c r="O334" s="637"/>
      <c r="P334" s="458"/>
      <c r="Q334" s="21"/>
      <c r="R334" s="433"/>
      <c r="S334" s="21"/>
      <c r="T334" s="556"/>
      <c r="U334" s="433"/>
      <c r="V334" s="433"/>
      <c r="W334" s="433"/>
      <c r="X334" s="433"/>
      <c r="Y334" s="433"/>
      <c r="Z334" s="433"/>
      <c r="AA334" s="433"/>
      <c r="AB334" s="433"/>
      <c r="AC334" s="433"/>
      <c r="AD334" s="21"/>
      <c r="AE334" s="21"/>
      <c r="AF334" s="433"/>
      <c r="AG334" s="446"/>
      <c r="AH334" s="433"/>
      <c r="AI334" s="433"/>
      <c r="AJ334" s="433"/>
      <c r="AK334" s="433"/>
      <c r="AL334" s="433"/>
      <c r="AM334" s="433"/>
      <c r="AN334" s="433"/>
      <c r="AO334" s="433"/>
    </row>
    <row r="335" spans="1:41" ht="19.899999999999999" customHeight="1">
      <c r="A335" s="666"/>
      <c r="B335" s="433"/>
      <c r="C335" s="433"/>
      <c r="D335" s="433"/>
      <c r="E335" s="433"/>
      <c r="F335" s="433"/>
      <c r="G335" s="433"/>
      <c r="H335" s="433"/>
      <c r="I335" s="433"/>
      <c r="J335" s="433"/>
      <c r="K335" s="433"/>
      <c r="M335" s="440"/>
      <c r="N335" s="433"/>
      <c r="O335" s="433"/>
      <c r="P335" s="433"/>
      <c r="Q335" s="433"/>
      <c r="R335" s="433"/>
      <c r="S335" s="21"/>
      <c r="T335" s="556"/>
      <c r="U335" s="433"/>
      <c r="V335" s="433"/>
      <c r="W335" s="433"/>
      <c r="X335" s="433"/>
      <c r="Y335" s="433"/>
      <c r="Z335" s="433"/>
      <c r="AA335" s="433"/>
      <c r="AB335" s="433"/>
      <c r="AC335" s="433"/>
      <c r="AD335" s="21"/>
      <c r="AE335" s="21"/>
      <c r="AF335" s="433"/>
      <c r="AG335" s="446"/>
      <c r="AH335" s="433"/>
      <c r="AI335" s="433"/>
      <c r="AJ335" s="433"/>
      <c r="AK335" s="433"/>
      <c r="AL335" s="433"/>
      <c r="AM335" s="433"/>
      <c r="AN335" s="433"/>
      <c r="AO335" s="433"/>
    </row>
    <row r="336" spans="1:41" ht="19.899999999999999" customHeight="1">
      <c r="A336" s="666"/>
      <c r="B336" s="433"/>
      <c r="C336" s="433"/>
      <c r="D336" s="433"/>
      <c r="E336" s="433"/>
      <c r="F336" s="433"/>
      <c r="G336" s="433"/>
      <c r="H336" s="433"/>
      <c r="I336" s="433"/>
      <c r="J336" s="433"/>
      <c r="K336" s="433"/>
      <c r="M336" s="440"/>
      <c r="N336" s="433"/>
      <c r="O336" s="433"/>
      <c r="P336" s="433"/>
      <c r="Q336" s="433"/>
      <c r="R336" s="433"/>
      <c r="S336" s="21"/>
      <c r="T336" s="433"/>
      <c r="U336" s="433"/>
      <c r="V336" s="433"/>
      <c r="W336" s="433"/>
      <c r="X336" s="433"/>
      <c r="Y336" s="433"/>
      <c r="Z336" s="433"/>
      <c r="AA336" s="433"/>
      <c r="AB336" s="21"/>
      <c r="AC336" s="21"/>
      <c r="AD336" s="21"/>
      <c r="AE336" s="21"/>
      <c r="AF336" s="433"/>
      <c r="AG336" s="446"/>
      <c r="AH336" s="433"/>
      <c r="AI336" s="433"/>
      <c r="AJ336" s="433"/>
      <c r="AK336" s="433"/>
      <c r="AL336" s="433"/>
      <c r="AM336" s="433"/>
      <c r="AN336" s="433"/>
      <c r="AO336" s="433"/>
    </row>
    <row r="337" spans="1:41" ht="19.899999999999999" customHeight="1">
      <c r="A337" s="666"/>
      <c r="B337" s="433"/>
      <c r="C337" s="433"/>
      <c r="D337" s="433"/>
      <c r="E337" s="433"/>
      <c r="F337" s="433"/>
      <c r="G337" s="433"/>
      <c r="H337" s="433"/>
      <c r="I337" s="433"/>
      <c r="J337" s="433"/>
      <c r="K337" s="433"/>
      <c r="M337" s="649" t="s">
        <v>384</v>
      </c>
      <c r="N337" s="650">
        <v>1</v>
      </c>
      <c r="O337" s="650">
        <v>2.5</v>
      </c>
      <c r="P337" s="651">
        <f>+O291-O289</f>
        <v>3</v>
      </c>
      <c r="Q337" s="518"/>
      <c r="R337" s="518"/>
      <c r="S337" s="518">
        <f>+(N337*N337+O337*O337+(N337+O337)*(N337+O337))*P337/6*4</f>
        <v>39</v>
      </c>
      <c r="T337" s="556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433"/>
      <c r="AG337" s="446"/>
      <c r="AH337" s="433"/>
      <c r="AI337" s="433"/>
      <c r="AJ337" s="433"/>
      <c r="AK337" s="433"/>
      <c r="AL337" s="433"/>
      <c r="AM337" s="433"/>
      <c r="AN337" s="433"/>
      <c r="AO337" s="433"/>
    </row>
    <row r="338" spans="1:41" ht="19.899999999999999" customHeight="1">
      <c r="A338" s="666"/>
      <c r="B338" s="433"/>
      <c r="C338" s="433"/>
      <c r="D338" s="433"/>
      <c r="E338" s="433"/>
      <c r="F338" s="433"/>
      <c r="G338" s="433"/>
      <c r="H338" s="433"/>
      <c r="I338" s="433"/>
      <c r="J338" s="433"/>
      <c r="K338" s="433"/>
      <c r="M338" s="566" t="s">
        <v>385</v>
      </c>
      <c r="N338" s="568"/>
      <c r="O338" s="568"/>
      <c r="P338" s="568"/>
      <c r="Q338" s="568"/>
      <c r="R338" s="568"/>
      <c r="S338" s="652">
        <f>+S307</f>
        <v>14.955</v>
      </c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433"/>
      <c r="AG338" s="446"/>
      <c r="AH338" s="433"/>
      <c r="AI338" s="433"/>
      <c r="AJ338" s="433"/>
      <c r="AK338" s="433"/>
      <c r="AL338" s="433"/>
      <c r="AM338" s="433"/>
      <c r="AN338" s="433"/>
      <c r="AO338" s="433"/>
    </row>
    <row r="339" spans="1:41" ht="19.899999999999999" customHeight="1">
      <c r="A339" s="666"/>
      <c r="B339" s="433"/>
      <c r="C339" s="433"/>
      <c r="D339" s="433"/>
      <c r="E339" s="433"/>
      <c r="F339" s="433"/>
      <c r="G339" s="433"/>
      <c r="H339" s="433"/>
      <c r="I339" s="433"/>
      <c r="J339" s="433"/>
      <c r="K339" s="433"/>
      <c r="M339" s="628" t="s">
        <v>386</v>
      </c>
      <c r="N339" s="444">
        <f>+N308</f>
        <v>1</v>
      </c>
      <c r="O339" s="653">
        <f>+O308</f>
        <v>0</v>
      </c>
      <c r="P339" s="653">
        <f>+P308</f>
        <v>5</v>
      </c>
      <c r="Q339" s="653">
        <f>+Q308</f>
        <v>6</v>
      </c>
      <c r="R339" s="654">
        <v>0.35699999999999998</v>
      </c>
      <c r="S339" s="655">
        <f>+(N339*O339*(P339-2*O337)+N339*O339*(Q339-2*O337))*2</f>
        <v>0</v>
      </c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433"/>
      <c r="AG339" s="446"/>
      <c r="AH339" s="433"/>
      <c r="AI339" s="433"/>
      <c r="AJ339" s="433"/>
      <c r="AK339" s="433"/>
      <c r="AL339" s="433"/>
      <c r="AM339" s="433"/>
      <c r="AN339" s="433"/>
      <c r="AO339" s="433"/>
    </row>
    <row r="340" spans="1:41" ht="19.899999999999999" customHeight="1">
      <c r="A340" s="666"/>
      <c r="B340" s="433"/>
      <c r="C340" s="433"/>
      <c r="D340" s="433"/>
      <c r="E340" s="433"/>
      <c r="F340" s="433"/>
      <c r="G340" s="433"/>
      <c r="H340" s="433"/>
      <c r="I340" s="433"/>
      <c r="J340" s="433"/>
      <c r="K340" s="433"/>
      <c r="M340" s="528"/>
      <c r="N340" s="524"/>
      <c r="O340" s="524"/>
      <c r="P340" s="524"/>
      <c r="Q340" s="524"/>
      <c r="R340" s="524"/>
      <c r="S340" s="524">
        <f>+R339*O339/2*0.6*8</f>
        <v>0</v>
      </c>
      <c r="T340" s="433"/>
      <c r="U340" s="433"/>
      <c r="V340" s="433"/>
      <c r="W340" s="433"/>
      <c r="X340" s="433"/>
      <c r="Y340" s="433"/>
      <c r="Z340" s="433"/>
      <c r="AA340" s="433"/>
      <c r="AB340" s="433"/>
      <c r="AC340" s="433"/>
      <c r="AD340" s="433"/>
      <c r="AE340" s="433"/>
      <c r="AF340" s="433"/>
      <c r="AG340" s="446"/>
      <c r="AH340" s="433"/>
      <c r="AI340" s="433"/>
      <c r="AJ340" s="433"/>
      <c r="AK340" s="433"/>
      <c r="AL340" s="433"/>
      <c r="AM340" s="433"/>
      <c r="AN340" s="433"/>
      <c r="AO340" s="433"/>
    </row>
    <row r="341" spans="1:41" ht="19.899999999999999" customHeight="1">
      <c r="A341" s="666"/>
      <c r="B341" s="433"/>
      <c r="C341" s="433"/>
      <c r="D341" s="433"/>
      <c r="E341" s="433"/>
      <c r="F341" s="433"/>
      <c r="G341" s="433"/>
      <c r="H341" s="433"/>
      <c r="I341" s="433"/>
      <c r="J341" s="433"/>
      <c r="K341" s="433"/>
      <c r="M341" s="440"/>
      <c r="N341" s="433"/>
      <c r="O341" s="433"/>
      <c r="P341" s="433"/>
      <c r="Q341" s="433"/>
      <c r="R341" s="433" t="s">
        <v>387</v>
      </c>
      <c r="S341" s="595">
        <f>+SUM(S337:S340)</f>
        <v>53.954999999999998</v>
      </c>
      <c r="T341" s="433"/>
      <c r="U341" s="433">
        <f>72*S341</f>
        <v>3884.7599999999998</v>
      </c>
      <c r="V341" s="433"/>
      <c r="W341" s="433"/>
      <c r="X341" s="433"/>
      <c r="Y341" s="433"/>
      <c r="Z341" s="433"/>
      <c r="AA341" s="433"/>
      <c r="AB341" s="433"/>
      <c r="AC341" s="433"/>
      <c r="AD341" s="433"/>
      <c r="AE341" s="433"/>
      <c r="AF341" s="433"/>
      <c r="AG341" s="446"/>
      <c r="AH341" s="433"/>
      <c r="AI341" s="433"/>
      <c r="AJ341" s="433"/>
      <c r="AK341" s="433"/>
      <c r="AL341" s="433"/>
      <c r="AM341" s="433"/>
      <c r="AN341" s="433"/>
      <c r="AO341" s="433"/>
    </row>
    <row r="342" spans="1:41" ht="19.899999999999999" customHeight="1">
      <c r="A342" s="666"/>
      <c r="B342" s="433"/>
      <c r="C342" s="433"/>
      <c r="D342" s="433"/>
      <c r="E342" s="433"/>
      <c r="F342" s="433"/>
      <c r="G342" s="433"/>
      <c r="H342" s="433"/>
      <c r="I342" s="433"/>
      <c r="J342" s="433"/>
      <c r="K342" s="433"/>
      <c r="M342" s="440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  <c r="AB342" s="433"/>
      <c r="AC342" s="433"/>
      <c r="AD342" s="433"/>
      <c r="AE342" s="433"/>
      <c r="AF342" s="433"/>
      <c r="AG342" s="446"/>
      <c r="AH342" s="433"/>
      <c r="AI342" s="433"/>
      <c r="AJ342" s="433"/>
      <c r="AK342" s="433"/>
      <c r="AL342" s="433"/>
      <c r="AM342" s="433"/>
      <c r="AN342" s="433"/>
      <c r="AO342" s="433"/>
    </row>
    <row r="343" spans="1:41" ht="19.899999999999999" customHeight="1">
      <c r="A343" s="666"/>
      <c r="B343" s="433"/>
      <c r="C343" s="433"/>
      <c r="D343" s="433"/>
      <c r="E343" s="433"/>
      <c r="F343" s="433"/>
      <c r="G343" s="433"/>
      <c r="H343" s="433"/>
      <c r="I343" s="433"/>
      <c r="J343" s="433"/>
      <c r="K343" s="433"/>
      <c r="M343" s="656" t="s">
        <v>388</v>
      </c>
      <c r="N343" s="21"/>
      <c r="O343" s="21"/>
      <c r="P343" s="21"/>
      <c r="Q343" s="21"/>
      <c r="R343" s="21"/>
      <c r="S343" s="21"/>
      <c r="T343" s="21"/>
      <c r="U343" s="21"/>
      <c r="V343" s="21"/>
      <c r="W343" s="433"/>
      <c r="X343" s="433"/>
      <c r="Y343" s="433"/>
      <c r="Z343" s="433"/>
      <c r="AA343" s="433"/>
      <c r="AB343" s="433"/>
      <c r="AC343" s="433"/>
      <c r="AD343" s="433"/>
      <c r="AE343" s="433"/>
      <c r="AF343" s="433"/>
      <c r="AG343" s="446"/>
      <c r="AH343" s="433"/>
      <c r="AI343" s="433"/>
      <c r="AJ343" s="433"/>
      <c r="AK343" s="433"/>
      <c r="AL343" s="433"/>
      <c r="AM343" s="433"/>
      <c r="AN343" s="433"/>
      <c r="AO343" s="433"/>
    </row>
    <row r="344" spans="1:41" ht="19.899999999999999" customHeight="1">
      <c r="A344" s="666"/>
      <c r="B344" s="433"/>
      <c r="C344" s="433"/>
      <c r="D344" s="433"/>
      <c r="E344" s="433"/>
      <c r="F344" s="433"/>
      <c r="G344" s="433"/>
      <c r="H344" s="433"/>
      <c r="I344" s="433"/>
      <c r="J344" s="433"/>
      <c r="K344" s="433"/>
      <c r="M344" s="657"/>
      <c r="N344" s="658" t="s">
        <v>332</v>
      </c>
      <c r="O344" s="658" t="s">
        <v>39</v>
      </c>
      <c r="P344" s="658" t="s">
        <v>331</v>
      </c>
      <c r="Q344" s="658" t="s">
        <v>332</v>
      </c>
      <c r="R344" s="658" t="s">
        <v>333</v>
      </c>
      <c r="S344" s="658" t="s">
        <v>334</v>
      </c>
      <c r="T344" s="658" t="s">
        <v>335</v>
      </c>
      <c r="U344" s="658" t="s">
        <v>389</v>
      </c>
      <c r="V344" s="658" t="s">
        <v>390</v>
      </c>
      <c r="W344" s="433"/>
      <c r="X344" s="433"/>
      <c r="Y344" s="433"/>
      <c r="Z344" s="433"/>
      <c r="AA344" s="433"/>
      <c r="AB344" s="433"/>
      <c r="AC344" s="433"/>
      <c r="AD344" s="433"/>
      <c r="AE344" s="433"/>
      <c r="AF344" s="433"/>
      <c r="AG344" s="446"/>
      <c r="AH344" s="433"/>
      <c r="AI344" s="433"/>
      <c r="AJ344" s="433"/>
      <c r="AK344" s="433"/>
      <c r="AL344" s="433"/>
      <c r="AM344" s="433"/>
      <c r="AN344" s="433"/>
      <c r="AO344" s="433"/>
    </row>
    <row r="345" spans="1:41" ht="19.899999999999999" customHeight="1">
      <c r="A345" s="666"/>
      <c r="B345" s="433"/>
      <c r="C345" s="433"/>
      <c r="D345" s="433"/>
      <c r="E345" s="433"/>
      <c r="F345" s="433"/>
      <c r="G345" s="433"/>
      <c r="H345" s="433"/>
      <c r="I345" s="433"/>
      <c r="J345" s="433"/>
      <c r="K345" s="433"/>
      <c r="M345" s="657" t="s">
        <v>391</v>
      </c>
      <c r="N345" s="659">
        <v>6.4</v>
      </c>
      <c r="O345" s="659">
        <v>6.8</v>
      </c>
      <c r="P345" s="660">
        <f>+N345+U345*2</f>
        <v>7</v>
      </c>
      <c r="Q345" s="660">
        <f>+O345+U345*2</f>
        <v>7.3999999999999995</v>
      </c>
      <c r="R345" s="660">
        <f>+P345+T345*2</f>
        <v>9.1999999999999993</v>
      </c>
      <c r="S345" s="660">
        <f>+Q345+T345*2</f>
        <v>9.6</v>
      </c>
      <c r="T345" s="659">
        <v>1.1000000000000001</v>
      </c>
      <c r="U345" s="659">
        <v>0.3</v>
      </c>
      <c r="V345" s="661">
        <f>+(P345*Q345+(P345+N345)*(Q345+O345)+N345*O345)*T345/6</f>
        <v>52.359999999999992</v>
      </c>
      <c r="W345" s="433"/>
      <c r="X345" s="433"/>
      <c r="Y345" s="433"/>
      <c r="Z345" s="433"/>
      <c r="AA345" s="433"/>
      <c r="AB345" s="433"/>
      <c r="AC345" s="433"/>
      <c r="AD345" s="433"/>
      <c r="AE345" s="433"/>
      <c r="AF345" s="433"/>
      <c r="AG345" s="446"/>
      <c r="AH345" s="433"/>
      <c r="AI345" s="433"/>
      <c r="AJ345" s="433"/>
      <c r="AK345" s="433"/>
      <c r="AL345" s="433"/>
      <c r="AM345" s="433"/>
      <c r="AN345" s="433"/>
      <c r="AO345" s="433"/>
    </row>
    <row r="346" spans="1:41" ht="19.899999999999999" customHeight="1">
      <c r="A346" s="666"/>
      <c r="B346" s="433"/>
      <c r="C346" s="433"/>
      <c r="D346" s="433"/>
      <c r="E346" s="433"/>
      <c r="F346" s="433"/>
      <c r="G346" s="433"/>
      <c r="H346" s="433"/>
      <c r="I346" s="433"/>
      <c r="J346" s="433"/>
      <c r="K346" s="433"/>
      <c r="M346" s="657" t="s">
        <v>392</v>
      </c>
      <c r="N346" s="659">
        <v>6.4</v>
      </c>
      <c r="O346" s="659">
        <v>7</v>
      </c>
      <c r="P346" s="660">
        <f>+N346+U346*2</f>
        <v>7.4</v>
      </c>
      <c r="Q346" s="660">
        <f>+O346+U346*2</f>
        <v>8</v>
      </c>
      <c r="R346" s="660">
        <f>+P346+T346*2</f>
        <v>10.600000000000001</v>
      </c>
      <c r="S346" s="660">
        <f>+Q346+T346*2</f>
        <v>11.2</v>
      </c>
      <c r="T346" s="659">
        <f>1.1+U346</f>
        <v>1.6</v>
      </c>
      <c r="U346" s="659">
        <v>0.5</v>
      </c>
      <c r="V346" s="661">
        <f>+(P346*Q346+(P346+N346)*(Q346+O346)+N346*O346)*T346/6</f>
        <v>82.933333333333337</v>
      </c>
      <c r="W346" s="433"/>
      <c r="X346" s="433"/>
      <c r="Y346" s="433"/>
      <c r="Z346" s="433"/>
      <c r="AA346" s="433"/>
      <c r="AB346" s="433"/>
      <c r="AC346" s="433"/>
      <c r="AD346" s="433"/>
      <c r="AE346" s="433"/>
      <c r="AF346" s="433"/>
      <c r="AG346" s="446"/>
      <c r="AH346" s="433"/>
      <c r="AI346" s="433"/>
      <c r="AJ346" s="433"/>
      <c r="AK346" s="433"/>
      <c r="AL346" s="433"/>
      <c r="AM346" s="433"/>
      <c r="AN346" s="433"/>
      <c r="AO346" s="433"/>
    </row>
    <row r="347" spans="1:41" ht="19.899999999999999" customHeight="1">
      <c r="A347" s="666"/>
      <c r="B347" s="433"/>
      <c r="C347" s="433"/>
      <c r="D347" s="433"/>
      <c r="E347" s="433"/>
      <c r="F347" s="433"/>
      <c r="G347" s="433"/>
      <c r="H347" s="433"/>
      <c r="I347" s="433"/>
      <c r="J347" s="433"/>
      <c r="K347" s="433"/>
      <c r="M347" s="656" t="s">
        <v>393</v>
      </c>
      <c r="N347" s="21"/>
      <c r="O347" s="21"/>
      <c r="P347" s="21"/>
      <c r="Q347" s="21"/>
      <c r="R347" s="21"/>
      <c r="S347" s="21"/>
      <c r="T347" s="21"/>
      <c r="U347" s="21"/>
      <c r="V347" s="21"/>
      <c r="W347" s="433"/>
      <c r="X347" s="433"/>
      <c r="Y347" s="433"/>
      <c r="Z347" s="433"/>
      <c r="AA347" s="433"/>
      <c r="AB347" s="433"/>
      <c r="AC347" s="433"/>
      <c r="AD347" s="433"/>
      <c r="AE347" s="433"/>
      <c r="AF347" s="433"/>
      <c r="AG347" s="446"/>
      <c r="AH347" s="433"/>
      <c r="AI347" s="433"/>
      <c r="AJ347" s="433"/>
      <c r="AK347" s="433"/>
      <c r="AL347" s="433"/>
      <c r="AM347" s="433"/>
      <c r="AN347" s="433"/>
      <c r="AO347" s="433"/>
    </row>
    <row r="348" spans="1:41" ht="19.899999999999999" customHeight="1">
      <c r="A348" s="666"/>
      <c r="B348" s="433"/>
      <c r="C348" s="433"/>
      <c r="D348" s="433"/>
      <c r="E348" s="433"/>
      <c r="F348" s="433"/>
      <c r="G348" s="433"/>
      <c r="H348" s="433"/>
      <c r="I348" s="433"/>
      <c r="J348" s="433"/>
      <c r="K348" s="433"/>
      <c r="M348" s="657"/>
      <c r="N348" s="658" t="s">
        <v>394</v>
      </c>
      <c r="O348" s="658" t="s">
        <v>332</v>
      </c>
      <c r="P348" s="658" t="s">
        <v>39</v>
      </c>
      <c r="Q348" s="658" t="s">
        <v>389</v>
      </c>
      <c r="R348" s="505" t="s">
        <v>395</v>
      </c>
      <c r="S348" s="658" t="s">
        <v>396</v>
      </c>
      <c r="T348" s="658"/>
      <c r="U348" s="658"/>
      <c r="V348" s="658" t="s">
        <v>397</v>
      </c>
      <c r="W348" s="433"/>
      <c r="X348" s="433"/>
      <c r="Y348" s="433"/>
      <c r="Z348" s="433"/>
      <c r="AA348" s="433"/>
      <c r="AB348" s="433"/>
      <c r="AC348" s="433"/>
      <c r="AD348" s="433"/>
      <c r="AE348" s="433"/>
      <c r="AF348" s="433"/>
      <c r="AG348" s="446"/>
      <c r="AH348" s="433"/>
      <c r="AI348" s="433"/>
      <c r="AJ348" s="433"/>
      <c r="AK348" s="433"/>
      <c r="AL348" s="433"/>
      <c r="AM348" s="433"/>
      <c r="AN348" s="433"/>
      <c r="AO348" s="433"/>
    </row>
    <row r="349" spans="1:41" ht="19.899999999999999" customHeight="1">
      <c r="A349" s="666"/>
      <c r="B349" s="433"/>
      <c r="C349" s="433"/>
      <c r="D349" s="433"/>
      <c r="E349" s="433"/>
      <c r="F349" s="433"/>
      <c r="G349" s="433"/>
      <c r="H349" s="433"/>
      <c r="I349" s="433"/>
      <c r="J349" s="433"/>
      <c r="K349" s="433"/>
      <c r="M349" s="657"/>
      <c r="N349" s="659">
        <v>0.9</v>
      </c>
      <c r="O349" s="659">
        <v>6.4</v>
      </c>
      <c r="P349" s="659">
        <v>6.8</v>
      </c>
      <c r="Q349" s="659">
        <f>1+0.5/2</f>
        <v>1.25</v>
      </c>
      <c r="R349" s="660">
        <f>+O349+Q349*2</f>
        <v>8.9</v>
      </c>
      <c r="S349" s="660">
        <f>+Q349*2+P349</f>
        <v>9.3000000000000007</v>
      </c>
      <c r="T349" s="660"/>
      <c r="U349" s="660"/>
      <c r="V349" s="661">
        <f>+(S349*2+R349*2)*N349</f>
        <v>32.760000000000005</v>
      </c>
      <c r="W349" s="433"/>
      <c r="X349" s="433"/>
      <c r="Y349" s="433"/>
      <c r="Z349" s="433"/>
      <c r="AA349" s="433"/>
      <c r="AB349" s="433"/>
      <c r="AC349" s="433"/>
      <c r="AD349" s="433"/>
      <c r="AE349" s="433"/>
      <c r="AF349" s="433"/>
      <c r="AG349" s="446"/>
      <c r="AH349" s="433"/>
      <c r="AI349" s="433"/>
      <c r="AJ349" s="433"/>
      <c r="AK349" s="433"/>
      <c r="AL349" s="433"/>
      <c r="AM349" s="433"/>
      <c r="AN349" s="433"/>
      <c r="AO349" s="433"/>
    </row>
    <row r="350" spans="1:41" ht="19.899999999999999" customHeight="1">
      <c r="A350" s="666"/>
      <c r="B350" s="433"/>
      <c r="C350" s="433"/>
      <c r="D350" s="433"/>
      <c r="E350" s="433"/>
      <c r="F350" s="433"/>
      <c r="G350" s="433"/>
      <c r="H350" s="433"/>
      <c r="I350" s="433"/>
      <c r="J350" s="433"/>
      <c r="K350" s="433"/>
      <c r="M350" s="656" t="s">
        <v>398</v>
      </c>
      <c r="N350" s="21"/>
      <c r="O350" s="21"/>
      <c r="P350" s="21"/>
      <c r="Q350" s="21"/>
      <c r="R350" s="21"/>
      <c r="S350" s="21"/>
      <c r="T350" s="21"/>
      <c r="U350" s="21"/>
      <c r="V350" s="21"/>
      <c r="W350" s="433"/>
      <c r="X350" s="433"/>
      <c r="Y350" s="433"/>
      <c r="Z350" s="433"/>
      <c r="AA350" s="433"/>
      <c r="AB350" s="433"/>
      <c r="AC350" s="433"/>
      <c r="AD350" s="433"/>
      <c r="AE350" s="433"/>
      <c r="AF350" s="433"/>
      <c r="AG350" s="446"/>
      <c r="AH350" s="433"/>
      <c r="AI350" s="433"/>
      <c r="AJ350" s="433"/>
      <c r="AK350" s="433"/>
      <c r="AL350" s="433"/>
      <c r="AM350" s="433"/>
      <c r="AN350" s="433"/>
      <c r="AO350" s="433"/>
    </row>
    <row r="351" spans="1:41" ht="19.899999999999999" customHeight="1">
      <c r="A351" s="666"/>
      <c r="B351" s="433"/>
      <c r="C351" s="433"/>
      <c r="D351" s="433"/>
      <c r="E351" s="433"/>
      <c r="F351" s="433"/>
      <c r="G351" s="433"/>
      <c r="H351" s="433"/>
      <c r="I351" s="433"/>
      <c r="J351" s="433"/>
      <c r="K351" s="433"/>
      <c r="M351" s="657"/>
      <c r="N351" s="658" t="s">
        <v>390</v>
      </c>
      <c r="O351" s="658" t="s">
        <v>399</v>
      </c>
      <c r="P351" s="658" t="s">
        <v>332</v>
      </c>
      <c r="Q351" s="658" t="s">
        <v>39</v>
      </c>
      <c r="R351" s="658" t="s">
        <v>395</v>
      </c>
      <c r="S351" s="658" t="s">
        <v>396</v>
      </c>
      <c r="T351" s="658" t="s">
        <v>335</v>
      </c>
      <c r="U351" s="658"/>
      <c r="V351" s="658" t="s">
        <v>400</v>
      </c>
      <c r="W351" s="433"/>
      <c r="X351" s="433"/>
      <c r="Y351" s="433"/>
      <c r="Z351" s="433"/>
      <c r="AA351" s="433"/>
      <c r="AB351" s="433"/>
      <c r="AC351" s="433"/>
      <c r="AD351" s="433"/>
      <c r="AE351" s="433"/>
      <c r="AF351" s="433"/>
      <c r="AG351" s="446"/>
      <c r="AH351" s="433"/>
      <c r="AI351" s="433"/>
      <c r="AJ351" s="433"/>
      <c r="AK351" s="433"/>
      <c r="AL351" s="433"/>
      <c r="AM351" s="433"/>
      <c r="AN351" s="433"/>
      <c r="AO351" s="433"/>
    </row>
    <row r="352" spans="1:41" ht="19.899999999999999" customHeight="1">
      <c r="A352" s="666"/>
      <c r="B352" s="433"/>
      <c r="C352" s="433"/>
      <c r="D352" s="433"/>
      <c r="E352" s="433"/>
      <c r="F352" s="433"/>
      <c r="G352" s="433"/>
      <c r="H352" s="433"/>
      <c r="I352" s="433"/>
      <c r="J352" s="433"/>
      <c r="K352" s="433"/>
      <c r="M352" s="657"/>
      <c r="N352" s="659">
        <f>+V345</f>
        <v>52.359999999999992</v>
      </c>
      <c r="O352" s="659">
        <v>18.25</v>
      </c>
      <c r="P352" s="659">
        <v>6.4</v>
      </c>
      <c r="Q352" s="659">
        <v>7</v>
      </c>
      <c r="R352" s="660">
        <f>+P352+T352*2</f>
        <v>8.4</v>
      </c>
      <c r="S352" s="660">
        <f>+Q352+T352*2</f>
        <v>9</v>
      </c>
      <c r="T352" s="659">
        <v>1</v>
      </c>
      <c r="U352" s="658"/>
      <c r="V352" s="661">
        <f>+(P352*Q352+R352*S352+(P352+R352)*(Q352+S352))*T352/6+N352-O352+S310</f>
        <v>105.64333333333333</v>
      </c>
      <c r="W352" s="433"/>
      <c r="X352" s="433"/>
      <c r="Y352" s="433"/>
      <c r="Z352" s="433"/>
      <c r="AA352" s="433"/>
      <c r="AB352" s="433"/>
      <c r="AC352" s="433"/>
      <c r="AD352" s="433"/>
      <c r="AE352" s="433"/>
      <c r="AF352" s="433"/>
      <c r="AG352" s="446"/>
      <c r="AH352" s="433"/>
      <c r="AI352" s="433"/>
      <c r="AJ352" s="433"/>
      <c r="AK352" s="433"/>
      <c r="AL352" s="433"/>
      <c r="AM352" s="433"/>
      <c r="AN352" s="433"/>
      <c r="AO352" s="433"/>
    </row>
    <row r="353" spans="1:41" ht="19.899999999999999" customHeight="1">
      <c r="A353" s="666"/>
      <c r="B353" s="433"/>
      <c r="C353" s="433"/>
      <c r="D353" s="433"/>
      <c r="E353" s="433"/>
      <c r="F353" s="433"/>
      <c r="G353" s="433"/>
      <c r="H353" s="433"/>
      <c r="I353" s="433"/>
      <c r="J353" s="433"/>
      <c r="K353" s="433"/>
      <c r="M353" s="440"/>
      <c r="N353" s="433" t="s">
        <v>332</v>
      </c>
      <c r="O353" s="433" t="s">
        <v>39</v>
      </c>
      <c r="P353" s="433"/>
      <c r="Q353" s="433" t="s">
        <v>401</v>
      </c>
      <c r="R353" s="433" t="s">
        <v>402</v>
      </c>
      <c r="S353" s="433" t="s">
        <v>332</v>
      </c>
      <c r="T353" s="433" t="s">
        <v>39</v>
      </c>
      <c r="U353" s="433" t="s">
        <v>334</v>
      </c>
      <c r="V353" s="433" t="s">
        <v>403</v>
      </c>
      <c r="W353" s="433" t="s">
        <v>404</v>
      </c>
      <c r="X353" s="433"/>
      <c r="Y353" s="433"/>
      <c r="Z353" s="433"/>
      <c r="AA353" s="433"/>
      <c r="AB353" s="433"/>
      <c r="AC353" s="433"/>
      <c r="AD353" s="433"/>
      <c r="AE353" s="433"/>
      <c r="AF353" s="433"/>
      <c r="AG353" s="446"/>
      <c r="AH353" s="433"/>
      <c r="AI353" s="433"/>
      <c r="AJ353" s="433"/>
      <c r="AK353" s="433"/>
      <c r="AL353" s="433"/>
      <c r="AM353" s="433"/>
      <c r="AN353" s="433"/>
      <c r="AO353" s="433"/>
    </row>
    <row r="354" spans="1:41" ht="19.899999999999999" customHeight="1">
      <c r="A354" s="666"/>
      <c r="B354" s="433"/>
      <c r="C354" s="433"/>
      <c r="D354" s="433"/>
      <c r="E354" s="433"/>
      <c r="F354" s="433"/>
      <c r="G354" s="433"/>
      <c r="H354" s="433"/>
      <c r="I354" s="433"/>
      <c r="J354" s="433"/>
      <c r="K354" s="433"/>
      <c r="M354" s="440"/>
      <c r="N354" s="662">
        <v>5.3</v>
      </c>
      <c r="O354" s="662">
        <v>5</v>
      </c>
      <c r="P354" s="662">
        <v>0.3</v>
      </c>
      <c r="Q354" s="662">
        <v>0.25</v>
      </c>
      <c r="R354" s="662">
        <v>3.6</v>
      </c>
      <c r="S354" s="433">
        <f>+N354+P354*2</f>
        <v>5.8999999999999995</v>
      </c>
      <c r="T354" s="433">
        <f>+O354+P354*2</f>
        <v>5.6</v>
      </c>
      <c r="U354" s="433">
        <f>+Q354*R354*2+S354</f>
        <v>7.6999999999999993</v>
      </c>
      <c r="V354" s="433">
        <f>+Q354*R354*2+T354</f>
        <v>7.3999999999999995</v>
      </c>
      <c r="W354" s="433">
        <f>+(U354*V354+S354*T354+(S354+U354)*(T354+V354))*R354/6</f>
        <v>160.09199999999996</v>
      </c>
      <c r="X354" s="433"/>
      <c r="Y354" s="433"/>
      <c r="Z354" s="433"/>
      <c r="AA354" s="433"/>
      <c r="AB354" s="433"/>
      <c r="AC354" s="433"/>
      <c r="AD354" s="433"/>
      <c r="AE354" s="433"/>
      <c r="AF354" s="433"/>
      <c r="AG354" s="446"/>
      <c r="AH354" s="433"/>
      <c r="AI354" s="433"/>
      <c r="AJ354" s="433"/>
      <c r="AK354" s="433"/>
      <c r="AL354" s="433"/>
      <c r="AM354" s="433"/>
      <c r="AN354" s="433"/>
      <c r="AO354" s="433"/>
    </row>
    <row r="355" spans="1:41" ht="19.899999999999999" customHeight="1">
      <c r="A355" s="666"/>
      <c r="B355" s="433"/>
      <c r="C355" s="433"/>
      <c r="D355" s="433"/>
      <c r="E355" s="433"/>
      <c r="F355" s="433"/>
      <c r="G355" s="433"/>
      <c r="H355" s="433"/>
      <c r="I355" s="433"/>
      <c r="J355" s="433"/>
      <c r="K355" s="433"/>
      <c r="M355" s="440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>
        <f>+W354*4</f>
        <v>640.36799999999982</v>
      </c>
      <c r="X355" s="433" t="s">
        <v>405</v>
      </c>
      <c r="Y355" s="433"/>
      <c r="Z355" s="433"/>
      <c r="AA355" s="433"/>
      <c r="AB355" s="433"/>
      <c r="AC355" s="433"/>
      <c r="AD355" s="433"/>
      <c r="AE355" s="433"/>
      <c r="AF355" s="433"/>
      <c r="AG355" s="446"/>
      <c r="AH355" s="433"/>
      <c r="AI355" s="433"/>
      <c r="AJ355" s="433"/>
      <c r="AK355" s="433"/>
      <c r="AL355" s="433"/>
      <c r="AM355" s="433"/>
      <c r="AN355" s="433"/>
      <c r="AO355" s="433"/>
    </row>
    <row r="356" spans="1:41" ht="19.899999999999999" customHeight="1" thickBot="1">
      <c r="A356" s="666"/>
      <c r="B356" s="433"/>
      <c r="C356" s="433"/>
      <c r="D356" s="433"/>
      <c r="E356" s="433"/>
      <c r="F356" s="433"/>
      <c r="G356" s="433"/>
      <c r="H356" s="433"/>
      <c r="I356" s="433"/>
      <c r="J356" s="433"/>
      <c r="K356" s="433"/>
      <c r="M356" s="496"/>
      <c r="N356" s="663"/>
      <c r="O356" s="663"/>
      <c r="P356" s="663"/>
      <c r="Q356" s="663"/>
      <c r="R356" s="663"/>
      <c r="S356" s="663"/>
      <c r="T356" s="663"/>
      <c r="U356" s="663"/>
      <c r="V356" s="663"/>
      <c r="W356" s="663"/>
      <c r="X356" s="663"/>
      <c r="Y356" s="663"/>
      <c r="Z356" s="663"/>
      <c r="AA356" s="663"/>
      <c r="AB356" s="663"/>
      <c r="AC356" s="663"/>
      <c r="AD356" s="663"/>
      <c r="AE356" s="663"/>
      <c r="AF356" s="663"/>
      <c r="AG356" s="664"/>
      <c r="AH356" s="433"/>
      <c r="AI356" s="433"/>
      <c r="AJ356" s="433"/>
      <c r="AK356" s="433"/>
      <c r="AL356" s="433"/>
      <c r="AM356" s="433"/>
      <c r="AN356" s="433"/>
      <c r="AO356" s="433"/>
    </row>
    <row r="357" spans="1:41" ht="19.899999999999999" customHeight="1">
      <c r="A357" s="666"/>
      <c r="B357" s="433"/>
      <c r="C357" s="433"/>
      <c r="D357" s="433"/>
      <c r="E357" s="433"/>
      <c r="F357" s="433"/>
      <c r="G357" s="433"/>
      <c r="H357" s="433"/>
      <c r="I357" s="433"/>
      <c r="J357" s="433"/>
      <c r="K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  <c r="AB357" s="433"/>
      <c r="AC357" s="433"/>
      <c r="AD357" s="433"/>
      <c r="AE357" s="433"/>
      <c r="AF357" s="433"/>
      <c r="AG357" s="433"/>
      <c r="AH357" s="433"/>
      <c r="AI357" s="433"/>
      <c r="AJ357" s="433"/>
      <c r="AK357" s="433"/>
      <c r="AL357" s="433"/>
      <c r="AM357" s="433"/>
      <c r="AN357" s="433"/>
      <c r="AO357" s="433"/>
    </row>
    <row r="358" spans="1:41" ht="19.899999999999999" customHeight="1">
      <c r="A358" s="666"/>
      <c r="B358" s="433"/>
      <c r="C358" s="433"/>
      <c r="D358" s="433"/>
      <c r="E358" s="433"/>
      <c r="F358" s="433"/>
      <c r="G358" s="433"/>
      <c r="H358" s="433"/>
      <c r="I358" s="433"/>
      <c r="J358" s="433"/>
      <c r="K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  <c r="AB358" s="433"/>
      <c r="AC358" s="433"/>
      <c r="AD358" s="433"/>
      <c r="AE358" s="433"/>
      <c r="AF358" s="433"/>
      <c r="AG358" s="433"/>
      <c r="AH358" s="433"/>
      <c r="AI358" s="433"/>
      <c r="AJ358" s="433"/>
      <c r="AK358" s="433"/>
      <c r="AL358" s="433"/>
      <c r="AM358" s="433"/>
      <c r="AN358" s="433"/>
      <c r="AO358" s="433"/>
    </row>
    <row r="359" spans="1:41" ht="19.899999999999999" customHeight="1">
      <c r="A359" s="666"/>
      <c r="B359" s="433"/>
      <c r="C359" s="433"/>
      <c r="D359" s="433"/>
      <c r="E359" s="433"/>
      <c r="F359" s="433"/>
      <c r="G359" s="433"/>
      <c r="H359" s="433"/>
      <c r="I359" s="433"/>
      <c r="J359" s="433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  <c r="AB359" s="433"/>
      <c r="AC359" s="433"/>
      <c r="AD359" s="433"/>
      <c r="AE359" s="433"/>
      <c r="AF359" s="433"/>
      <c r="AG359" s="433"/>
      <c r="AH359" s="433"/>
      <c r="AI359" s="433"/>
      <c r="AJ359" s="433"/>
      <c r="AK359" s="433"/>
      <c r="AL359" s="433"/>
      <c r="AM359" s="433"/>
      <c r="AN359" s="433"/>
      <c r="AO359" s="433"/>
    </row>
    <row r="360" spans="1:41" ht="19.899999999999999" customHeight="1">
      <c r="A360" s="666"/>
      <c r="B360" s="433"/>
      <c r="C360" s="433"/>
      <c r="D360" s="433"/>
      <c r="E360" s="433"/>
      <c r="F360" s="433"/>
      <c r="G360" s="433"/>
      <c r="H360" s="433"/>
      <c r="I360" s="433"/>
      <c r="J360" s="433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  <c r="AB360" s="433"/>
      <c r="AC360" s="433"/>
      <c r="AD360" s="433"/>
      <c r="AE360" s="433"/>
      <c r="AF360" s="433"/>
      <c r="AG360" s="433"/>
      <c r="AH360" s="433"/>
      <c r="AI360" s="433"/>
      <c r="AJ360" s="433"/>
      <c r="AK360" s="433"/>
      <c r="AL360" s="433"/>
      <c r="AM360" s="433"/>
      <c r="AN360" s="433"/>
      <c r="AO360" s="433"/>
    </row>
    <row r="361" spans="1:41" ht="19.899999999999999" customHeight="1">
      <c r="A361" s="666"/>
      <c r="B361" s="433"/>
      <c r="C361" s="433"/>
      <c r="D361" s="433"/>
      <c r="E361" s="433"/>
      <c r="F361" s="433"/>
      <c r="G361" s="433"/>
      <c r="H361" s="433"/>
      <c r="I361" s="433"/>
      <c r="J361" s="433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</row>
    <row r="362" spans="1:41" ht="19.899999999999999" customHeight="1">
      <c r="A362" s="666"/>
      <c r="B362" s="433"/>
      <c r="C362" s="433"/>
      <c r="D362" s="433"/>
      <c r="E362" s="433"/>
      <c r="F362" s="433"/>
      <c r="G362" s="433"/>
      <c r="H362" s="433"/>
      <c r="I362" s="433"/>
      <c r="J362" s="433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</row>
    <row r="363" spans="1:41" ht="19.899999999999999" customHeight="1">
      <c r="A363" s="666"/>
      <c r="B363" s="433"/>
      <c r="C363" s="433"/>
      <c r="D363" s="433"/>
      <c r="E363" s="433"/>
      <c r="F363" s="433"/>
      <c r="G363" s="433"/>
      <c r="H363" s="433"/>
      <c r="I363" s="433"/>
      <c r="J363" s="433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</row>
    <row r="364" spans="1:41" ht="19.899999999999999" customHeight="1">
      <c r="A364" s="666"/>
      <c r="B364" s="433"/>
      <c r="C364" s="433"/>
      <c r="D364" s="433"/>
      <c r="E364" s="433"/>
      <c r="F364" s="433"/>
      <c r="G364" s="433"/>
      <c r="H364" s="433"/>
      <c r="I364" s="433"/>
      <c r="J364" s="433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</row>
    <row r="365" spans="1:41" ht="19.899999999999999" customHeight="1">
      <c r="A365" s="666"/>
      <c r="B365" s="433"/>
      <c r="C365" s="433"/>
      <c r="D365" s="433"/>
      <c r="E365" s="433"/>
      <c r="F365" s="433"/>
      <c r="G365" s="433"/>
      <c r="H365" s="433"/>
      <c r="I365" s="433"/>
      <c r="J365" s="433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</row>
    <row r="366" spans="1:41" ht="19.899999999999999" customHeight="1">
      <c r="A366" s="666"/>
      <c r="B366" s="433"/>
      <c r="C366" s="433"/>
      <c r="D366" s="433"/>
      <c r="E366" s="433"/>
      <c r="F366" s="433"/>
      <c r="G366" s="433"/>
      <c r="H366" s="433"/>
      <c r="I366" s="433"/>
      <c r="J366" s="433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</row>
    <row r="367" spans="1:41" ht="19.899999999999999" customHeight="1">
      <c r="A367" s="666"/>
      <c r="B367" s="433"/>
      <c r="C367" s="433"/>
      <c r="D367" s="433"/>
      <c r="E367" s="433"/>
      <c r="F367" s="433"/>
      <c r="G367" s="433"/>
      <c r="H367" s="433"/>
      <c r="I367" s="433"/>
      <c r="J367" s="433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</row>
    <row r="368" spans="1:41" ht="19.899999999999999" customHeight="1">
      <c r="A368" s="666"/>
      <c r="B368" s="433"/>
      <c r="C368" s="433"/>
      <c r="D368" s="433"/>
      <c r="E368" s="433"/>
      <c r="F368" s="433"/>
      <c r="G368" s="433"/>
      <c r="H368" s="433"/>
      <c r="I368" s="433"/>
      <c r="J368" s="433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</row>
    <row r="369" spans="1:22" ht="19.899999999999999" customHeight="1">
      <c r="A369" s="666"/>
      <c r="B369" s="433"/>
      <c r="C369" s="433"/>
      <c r="D369" s="433"/>
      <c r="E369" s="433"/>
      <c r="F369" s="433"/>
      <c r="G369" s="433"/>
      <c r="H369" s="433"/>
      <c r="I369" s="433"/>
      <c r="J369" s="433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</row>
    <row r="370" spans="1:22" ht="19.899999999999999" customHeight="1">
      <c r="A370" s="666"/>
      <c r="B370" s="433"/>
      <c r="C370" s="433"/>
      <c r="D370" s="433"/>
      <c r="E370" s="433"/>
      <c r="F370" s="433"/>
      <c r="G370" s="433"/>
      <c r="H370" s="433"/>
      <c r="I370" s="433"/>
      <c r="J370" s="433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</row>
    <row r="371" spans="1:22" ht="19.899999999999999" customHeight="1">
      <c r="A371" s="666"/>
      <c r="B371" s="433"/>
      <c r="C371" s="433"/>
      <c r="D371" s="433"/>
      <c r="E371" s="433"/>
      <c r="F371" s="433"/>
      <c r="G371" s="433"/>
      <c r="H371" s="433"/>
      <c r="I371" s="433"/>
      <c r="J371" s="433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</row>
    <row r="372" spans="1:22" ht="19.899999999999999" customHeight="1">
      <c r="A372" s="666"/>
      <c r="B372" s="433"/>
      <c r="C372" s="433"/>
      <c r="D372" s="433"/>
      <c r="E372" s="433"/>
      <c r="F372" s="433"/>
      <c r="G372" s="433"/>
      <c r="H372" s="433"/>
      <c r="I372" s="433"/>
      <c r="J372" s="433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</row>
    <row r="373" spans="1:22" ht="19.899999999999999" customHeight="1">
      <c r="A373" s="666"/>
      <c r="B373" s="433"/>
      <c r="C373" s="433"/>
      <c r="D373" s="433"/>
      <c r="E373" s="433"/>
      <c r="F373" s="433"/>
      <c r="G373" s="433"/>
      <c r="H373" s="433"/>
      <c r="I373" s="433"/>
      <c r="J373" s="433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</row>
    <row r="374" spans="1:22" ht="19.899999999999999" customHeight="1">
      <c r="A374" s="666"/>
      <c r="B374" s="433"/>
      <c r="C374" s="433"/>
      <c r="D374" s="433"/>
      <c r="E374" s="433"/>
      <c r="F374" s="433"/>
      <c r="G374" s="433"/>
      <c r="H374" s="433"/>
      <c r="I374" s="433"/>
      <c r="J374" s="433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</row>
    <row r="375" spans="1:22" ht="19.899999999999999" customHeight="1">
      <c r="A375" s="666"/>
      <c r="B375" s="433"/>
      <c r="C375" s="433"/>
      <c r="D375" s="433"/>
      <c r="E375" s="433"/>
      <c r="F375" s="433"/>
      <c r="G375" s="433"/>
      <c r="H375" s="433"/>
      <c r="I375" s="433"/>
      <c r="J375" s="433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</row>
    <row r="376" spans="1:22" ht="19.899999999999999" customHeight="1">
      <c r="A376" s="666"/>
      <c r="B376" s="433"/>
      <c r="C376" s="433"/>
      <c r="D376" s="433"/>
      <c r="E376" s="433"/>
      <c r="F376" s="433"/>
      <c r="G376" s="433"/>
      <c r="H376" s="433"/>
      <c r="I376" s="433"/>
      <c r="J376" s="433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</row>
    <row r="377" spans="1:22" ht="19.899999999999999" customHeight="1">
      <c r="A377" s="666"/>
      <c r="B377" s="433"/>
      <c r="C377" s="433"/>
      <c r="D377" s="433"/>
      <c r="E377" s="433"/>
      <c r="F377" s="433"/>
      <c r="G377" s="433"/>
      <c r="H377" s="433"/>
      <c r="I377" s="433"/>
      <c r="J377" s="433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</row>
    <row r="378" spans="1:22" ht="19.899999999999999" customHeight="1">
      <c r="A378" s="666"/>
      <c r="B378" s="433"/>
      <c r="C378" s="433"/>
      <c r="D378" s="433"/>
      <c r="E378" s="433"/>
      <c r="F378" s="433"/>
      <c r="G378" s="433"/>
      <c r="H378" s="433"/>
      <c r="I378" s="433"/>
      <c r="J378" s="433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</row>
    <row r="379" spans="1:22" ht="19.899999999999999" customHeight="1">
      <c r="A379" s="666"/>
      <c r="B379" s="433"/>
      <c r="C379" s="433"/>
      <c r="D379" s="433"/>
      <c r="E379" s="433"/>
      <c r="F379" s="433"/>
      <c r="G379" s="433"/>
      <c r="H379" s="433"/>
      <c r="I379" s="433"/>
      <c r="J379" s="433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</row>
    <row r="380" spans="1:22" ht="19.899999999999999" customHeight="1">
      <c r="A380" s="666"/>
      <c r="B380" s="433"/>
      <c r="C380" s="433"/>
      <c r="D380" s="433"/>
      <c r="E380" s="433"/>
      <c r="F380" s="433"/>
      <c r="G380" s="433"/>
      <c r="H380" s="433"/>
      <c r="I380" s="433"/>
      <c r="J380" s="433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</row>
  </sheetData>
  <mergeCells count="84">
    <mergeCell ref="A1:B1"/>
    <mergeCell ref="A2:B2"/>
    <mergeCell ref="A3:B3"/>
    <mergeCell ref="C2:G2"/>
    <mergeCell ref="G17:G18"/>
    <mergeCell ref="C3:F3"/>
    <mergeCell ref="A45:A47"/>
    <mergeCell ref="A48:A50"/>
    <mergeCell ref="Q132:R132"/>
    <mergeCell ref="P6:U6"/>
    <mergeCell ref="N8:N9"/>
    <mergeCell ref="G20:G23"/>
    <mergeCell ref="A31:B31"/>
    <mergeCell ref="A32:B32"/>
    <mergeCell ref="A40:A42"/>
    <mergeCell ref="A29:G29"/>
    <mergeCell ref="A33:B33"/>
    <mergeCell ref="G26:G27"/>
    <mergeCell ref="A34:A37"/>
    <mergeCell ref="C207:C208"/>
    <mergeCell ref="D207:E207"/>
    <mergeCell ref="I49:J49"/>
    <mergeCell ref="I50:J50"/>
    <mergeCell ref="B62:C62"/>
    <mergeCell ref="J61:K61"/>
    <mergeCell ref="B156:C156"/>
    <mergeCell ref="H100:I100"/>
    <mergeCell ref="A127:B127"/>
    <mergeCell ref="F61:G61"/>
    <mergeCell ref="H61:I61"/>
    <mergeCell ref="A109:B109"/>
    <mergeCell ref="A113:B113"/>
    <mergeCell ref="A98:B98"/>
    <mergeCell ref="A131:C131"/>
    <mergeCell ref="A123:B123"/>
    <mergeCell ref="AE297:AF297"/>
    <mergeCell ref="M301:M302"/>
    <mergeCell ref="AA282:AC282"/>
    <mergeCell ref="N286:N288"/>
    <mergeCell ref="S296:X296"/>
    <mergeCell ref="Y296:AB296"/>
    <mergeCell ref="AC296:AF296"/>
    <mergeCell ref="S297:U297"/>
    <mergeCell ref="V297:X297"/>
    <mergeCell ref="Y297:Z297"/>
    <mergeCell ref="AA297:AB297"/>
    <mergeCell ref="AC297:AD297"/>
    <mergeCell ref="A232:B232"/>
    <mergeCell ref="F228:F229"/>
    <mergeCell ref="L207:L208"/>
    <mergeCell ref="N10:N13"/>
    <mergeCell ref="A233:B233"/>
    <mergeCell ref="G228:G229"/>
    <mergeCell ref="A164:B164"/>
    <mergeCell ref="A152:C152"/>
    <mergeCell ref="A153:C153"/>
    <mergeCell ref="A154:C154"/>
    <mergeCell ref="D230:D231"/>
    <mergeCell ref="B228:B229"/>
    <mergeCell ref="B230:B231"/>
    <mergeCell ref="A128:B128"/>
    <mergeCell ref="A165:B165"/>
    <mergeCell ref="K218:K222"/>
    <mergeCell ref="M208:N208"/>
    <mergeCell ref="M44:P44"/>
    <mergeCell ref="M207:N207"/>
    <mergeCell ref="F183:G183"/>
    <mergeCell ref="J223:K223"/>
    <mergeCell ref="K100:L101"/>
    <mergeCell ref="I48:J48"/>
    <mergeCell ref="L175:L176"/>
    <mergeCell ref="E230:E231"/>
    <mergeCell ref="J228:J229"/>
    <mergeCell ref="F230:F231"/>
    <mergeCell ref="I228:I229"/>
    <mergeCell ref="H132:I132"/>
    <mergeCell ref="H141:I141"/>
    <mergeCell ref="H151:I151"/>
    <mergeCell ref="D228:D229"/>
    <mergeCell ref="J226:K226"/>
    <mergeCell ref="J227:K227"/>
    <mergeCell ref="D208:E208"/>
    <mergeCell ref="E228:E229"/>
    <mergeCell ref="K228:K229"/>
  </mergeCells>
  <conditionalFormatting sqref="A164">
    <cfRule type="expression" dxfId="47" priority="31">
      <formula>#REF!="NO"</formula>
    </cfRule>
  </conditionalFormatting>
  <conditionalFormatting sqref="A232">
    <cfRule type="expression" dxfId="46" priority="27">
      <formula>#REF!="NO"</formula>
    </cfRule>
  </conditionalFormatting>
  <conditionalFormatting sqref="A128:F128">
    <cfRule type="expression" dxfId="45" priority="61">
      <formula>$M$128="NO"</formula>
    </cfRule>
  </conditionalFormatting>
  <conditionalFormatting sqref="A165:F165">
    <cfRule type="expression" dxfId="44" priority="52">
      <formula>$M$165="NO"</formula>
    </cfRule>
  </conditionalFormatting>
  <conditionalFormatting sqref="A233:F233">
    <cfRule type="expression" dxfId="43" priority="53">
      <formula>$M$233="NO"</formula>
    </cfRule>
  </conditionalFormatting>
  <conditionalFormatting sqref="A56:L56">
    <cfRule type="expression" dxfId="42" priority="47">
      <formula>$M$56="Chưa OK"</formula>
    </cfRule>
  </conditionalFormatting>
  <conditionalFormatting sqref="A98:L98">
    <cfRule type="expression" dxfId="41" priority="6">
      <formula>$M$98="NO"</formula>
    </cfRule>
  </conditionalFormatting>
  <conditionalFormatting sqref="A109:L109">
    <cfRule type="expression" dxfId="40" priority="5">
      <formula>$M$109="NO"</formula>
    </cfRule>
  </conditionalFormatting>
  <conditionalFormatting sqref="A113:L113">
    <cfRule type="expression" dxfId="39" priority="4">
      <formula>$M$113="NO"</formula>
    </cfRule>
  </conditionalFormatting>
  <conditionalFormatting sqref="A123:L123">
    <cfRule type="expression" dxfId="38" priority="1">
      <formula>$M$123="NO"</formula>
    </cfRule>
  </conditionalFormatting>
  <conditionalFormatting sqref="A127:L127">
    <cfRule type="expression" dxfId="37" priority="3">
      <formula>$M$127="NO"</formula>
    </cfRule>
  </conditionalFormatting>
  <conditionalFormatting sqref="A164:L164">
    <cfRule type="expression" dxfId="36" priority="21">
      <formula>$N$164="Thép lớn quá"</formula>
    </cfRule>
  </conditionalFormatting>
  <conditionalFormatting sqref="A232:L232">
    <cfRule type="expression" dxfId="35" priority="20">
      <formula>$N$232="Thép quá lớn"</formula>
    </cfRule>
    <cfRule type="expression" dxfId="34" priority="24">
      <formula>$M$232="NO"</formula>
    </cfRule>
  </conditionalFormatting>
  <conditionalFormatting sqref="B169:F169">
    <cfRule type="expression" dxfId="33" priority="76">
      <formula>$M$168="NO"</formula>
    </cfRule>
  </conditionalFormatting>
  <conditionalFormatting sqref="B237:F237">
    <cfRule type="expression" dxfId="32" priority="71">
      <formula>$M$236="NO"</formula>
    </cfRule>
  </conditionalFormatting>
  <conditionalFormatting sqref="C164 F164 H164 F232 H232">
    <cfRule type="expression" dxfId="31" priority="48">
      <formula>$M$164="NO"</formula>
    </cfRule>
  </conditionalFormatting>
  <conditionalFormatting sqref="C232">
    <cfRule type="expression" dxfId="30" priority="28">
      <formula>$M$164="NO"</formula>
    </cfRule>
  </conditionalFormatting>
  <conditionalFormatting sqref="E164">
    <cfRule type="expression" dxfId="29" priority="29">
      <formula>#REF!="NO"</formula>
    </cfRule>
  </conditionalFormatting>
  <conditionalFormatting sqref="E232">
    <cfRule type="expression" dxfId="28" priority="25">
      <formula>#REF!="NO"</formula>
    </cfRule>
  </conditionalFormatting>
  <conditionalFormatting sqref="G164">
    <cfRule type="expression" dxfId="27" priority="30">
      <formula>#REF!="NO"</formula>
    </cfRule>
  </conditionalFormatting>
  <conditionalFormatting sqref="G232">
    <cfRule type="expression" dxfId="26" priority="26">
      <formula>#REF!="NO"</formula>
    </cfRule>
  </conditionalFormatting>
  <conditionalFormatting sqref="M98">
    <cfRule type="expression" dxfId="25" priority="11">
      <formula>$M$109="NO"</formula>
    </cfRule>
  </conditionalFormatting>
  <conditionalFormatting sqref="M113">
    <cfRule type="expression" dxfId="24" priority="9">
      <formula>$M$109="NO"</formula>
    </cfRule>
  </conditionalFormatting>
  <dataValidations disablePrompts="1" count="4">
    <dataValidation type="list" allowBlank="1" showInputMessage="1" showErrorMessage="1" sqref="C127 C109 C113 C98 C123" xr:uid="{00000000-0002-0000-0A00-000000000000}">
      <formula1>"10,12,14,16"</formula1>
    </dataValidation>
    <dataValidation type="list" allowBlank="1" showInputMessage="1" showErrorMessage="1" sqref="C164 C232" xr:uid="{00000000-0002-0000-0A00-000001000000}">
      <formula1>"12,14,16,18,20,22,25,28,30"</formula1>
    </dataValidation>
    <dataValidation type="list" allowBlank="1" showInputMessage="1" showErrorMessage="1" sqref="E58" xr:uid="{00000000-0002-0000-0A00-000002000000}">
      <formula1>"M200,M250,M300,M350,M400"</formula1>
    </dataValidation>
    <dataValidation type="list" allowBlank="1" showInputMessage="1" showErrorMessage="1" sqref="N3" xr:uid="{00000000-0002-0000-0A00-000003000000}">
      <formula1>"TKCS,TKKT,TKBVTC"</formula1>
    </dataValidation>
  </dataValidations>
  <printOptions horizontalCentered="1"/>
  <pageMargins left="0.196850393700787" right="0.196850393700787" top="0.39370078740157499" bottom="0.39370078740157499" header="0" footer="0"/>
  <pageSetup paperSize="9" scale="72" orientation="portrait" blackAndWhite="1" r:id="rId1"/>
  <headerFooter alignWithMargins="0">
    <oddFooter xml:space="preserve">&amp;C
&amp;R&amp;12&amp;Y </oddFooter>
  </headerFooter>
  <rowBreaks count="2" manualBreakCount="2">
    <brk id="56" max="11" man="1"/>
    <brk id="192" max="11" man="1"/>
  </rowBreaks>
  <drawing r:id="rId2"/>
  <legacyDrawing r:id="rId3"/>
  <oleObjects>
    <mc:AlternateContent xmlns:mc="http://schemas.openxmlformats.org/markup-compatibility/2006">
      <mc:Choice Requires="x14">
        <oleObject progId="Visio.Drawing.11" shapeId="381967" r:id="rId4">
          <objectPr defaultSize="0" autoPict="0" r:id="rId5">
            <anchor moveWithCells="1">
              <from>
                <xdr:col>10</xdr:col>
                <xdr:colOff>25400</xdr:colOff>
                <xdr:row>169</xdr:row>
                <xdr:rowOff>234950</xdr:rowOff>
              </from>
              <to>
                <xdr:col>11</xdr:col>
                <xdr:colOff>349250</xdr:colOff>
                <xdr:row>177</xdr:row>
                <xdr:rowOff>88900</xdr:rowOff>
              </to>
            </anchor>
          </objectPr>
        </oleObject>
      </mc:Choice>
      <mc:Fallback>
        <oleObject progId="Visio.Drawing.11" shapeId="381967" r:id="rId4"/>
      </mc:Fallback>
    </mc:AlternateContent>
    <mc:AlternateContent xmlns:mc="http://schemas.openxmlformats.org/markup-compatibility/2006">
      <mc:Choice Requires="x14">
        <oleObject progId="Visio.Drawing.11" shapeId="381968" r:id="rId6">
          <objectPr defaultSize="0" autoPict="0" r:id="rId7">
            <anchor moveWithCells="1">
              <from>
                <xdr:col>9</xdr:col>
                <xdr:colOff>349250</xdr:colOff>
                <xdr:row>215</xdr:row>
                <xdr:rowOff>107950</xdr:rowOff>
              </from>
              <to>
                <xdr:col>11</xdr:col>
                <xdr:colOff>69850</xdr:colOff>
                <xdr:row>221</xdr:row>
                <xdr:rowOff>190500</xdr:rowOff>
              </to>
            </anchor>
          </objectPr>
        </oleObject>
      </mc:Choice>
      <mc:Fallback>
        <oleObject progId="Visio.Drawing.11" shapeId="38196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T74"/>
  <sheetViews>
    <sheetView topLeftCell="A19" workbookViewId="0">
      <selection activeCell="M70" sqref="M70:M74"/>
    </sheetView>
  </sheetViews>
  <sheetFormatPr defaultColWidth="9.09765625" defaultRowHeight="13"/>
  <cols>
    <col min="1" max="1" width="9.09765625" style="1"/>
    <col min="2" max="2" width="6.09765625" style="1" customWidth="1"/>
    <col min="3" max="3" width="3.09765625" style="1" customWidth="1"/>
    <col min="4" max="4" width="6.59765625" style="1" customWidth="1"/>
    <col min="5" max="5" width="2.3984375" style="10" customWidth="1"/>
    <col min="6" max="6" width="5" style="10" customWidth="1"/>
    <col min="7" max="7" width="2.3984375" style="10" customWidth="1"/>
    <col min="8" max="9" width="2.59765625" style="1" customWidth="1"/>
    <col min="10" max="10" width="2.8984375" style="1" customWidth="1"/>
    <col min="11" max="11" width="4.09765625" style="1" customWidth="1"/>
    <col min="12" max="12" width="5.296875" style="1" customWidth="1"/>
    <col min="13" max="13" width="12.8984375" style="1" customWidth="1"/>
    <col min="14" max="14" width="12.69921875" style="1" customWidth="1"/>
    <col min="15" max="15" width="13" style="1" customWidth="1"/>
    <col min="16" max="16" width="4.59765625" style="1" customWidth="1"/>
    <col min="17" max="17" width="4.8984375" style="1" customWidth="1"/>
    <col min="18" max="18" width="12.59765625" style="1" customWidth="1"/>
    <col min="19" max="19" width="12.296875" style="1" customWidth="1"/>
    <col min="20" max="20" width="17.296875" style="1" customWidth="1"/>
    <col min="21" max="21" width="11" style="1" customWidth="1"/>
    <col min="22" max="22" width="9.09765625" style="1"/>
    <col min="23" max="24" width="12" style="1" customWidth="1"/>
    <col min="25" max="27" width="16.09765625" style="1" customWidth="1"/>
    <col min="28" max="28" width="13.69921875" style="1" customWidth="1"/>
    <col min="29" max="29" width="13.59765625" style="1" customWidth="1"/>
    <col min="30" max="16384" width="9.09765625" style="1"/>
  </cols>
  <sheetData>
    <row r="1" spans="2:20" ht="16.5" customHeight="1">
      <c r="Q1" s="329"/>
      <c r="R1" s="329"/>
      <c r="S1" s="329"/>
    </row>
    <row r="2" spans="2:20" ht="30" customHeight="1">
      <c r="B2" s="1697" t="e">
        <f>+"BẢNG KÊ THÉP MÓNG  MB"&amp;Tra!C121&amp;"-"&amp;Tra!C122&amp;"x"&amp;Tra!E122</f>
        <v>#REF!</v>
      </c>
      <c r="C2" s="1697"/>
      <c r="D2" s="1697"/>
      <c r="E2" s="1697"/>
      <c r="F2" s="1697"/>
      <c r="G2" s="1697"/>
      <c r="H2" s="1697"/>
      <c r="I2" s="1697"/>
      <c r="J2" s="1697"/>
      <c r="K2" s="1697"/>
      <c r="L2" s="1697"/>
      <c r="M2" s="1697"/>
      <c r="N2" s="1697"/>
      <c r="O2" s="1697"/>
      <c r="P2" s="1697"/>
      <c r="Q2" s="1697"/>
      <c r="R2" s="1697"/>
      <c r="S2" s="1697"/>
      <c r="T2" s="1697"/>
    </row>
    <row r="3" spans="2:20" ht="20.25" customHeight="1">
      <c r="B3" s="1501" t="s">
        <v>456</v>
      </c>
      <c r="C3" s="1707" t="s">
        <v>457</v>
      </c>
      <c r="D3" s="1707"/>
      <c r="E3" s="1707"/>
      <c r="F3" s="1707"/>
      <c r="G3" s="1707"/>
      <c r="H3" s="1707"/>
      <c r="I3" s="1707"/>
      <c r="J3" s="1707"/>
      <c r="K3" s="1501" t="s">
        <v>459</v>
      </c>
      <c r="L3" s="1501"/>
      <c r="M3" s="1501" t="s">
        <v>460</v>
      </c>
      <c r="N3" s="1502" t="s">
        <v>458</v>
      </c>
      <c r="O3" s="1501" t="s">
        <v>461</v>
      </c>
      <c r="P3" s="1579" t="s">
        <v>469</v>
      </c>
      <c r="Q3" s="1698"/>
      <c r="R3" s="1698"/>
      <c r="S3" s="1698"/>
      <c r="T3" s="1699"/>
    </row>
    <row r="4" spans="2:20" ht="46.5" customHeight="1">
      <c r="B4" s="1501"/>
      <c r="C4" s="1707"/>
      <c r="D4" s="1707"/>
      <c r="E4" s="1707"/>
      <c r="F4" s="1707"/>
      <c r="G4" s="1707"/>
      <c r="H4" s="1707"/>
      <c r="I4" s="1707"/>
      <c r="J4" s="1707"/>
      <c r="K4" s="1501"/>
      <c r="L4" s="1501"/>
      <c r="M4" s="1501"/>
      <c r="N4" s="1502"/>
      <c r="O4" s="1501"/>
      <c r="P4" s="1700" t="s">
        <v>459</v>
      </c>
      <c r="Q4" s="1701"/>
      <c r="R4" s="357" t="s">
        <v>470</v>
      </c>
      <c r="S4" s="350" t="s">
        <v>467</v>
      </c>
      <c r="T4" s="350" t="s">
        <v>468</v>
      </c>
    </row>
    <row r="5" spans="2:20" ht="9" customHeight="1">
      <c r="B5" s="1580">
        <f>+Tra!I143</f>
        <v>1</v>
      </c>
      <c r="C5" s="330"/>
      <c r="D5" s="331"/>
      <c r="E5" s="332"/>
      <c r="F5" s="332"/>
      <c r="G5" s="332"/>
      <c r="H5" s="331"/>
      <c r="I5" s="331"/>
      <c r="J5" s="333"/>
      <c r="K5" s="1685" t="e">
        <f>+Tra!J143</f>
        <v>#REF!</v>
      </c>
      <c r="L5" s="1702" t="e">
        <f>+IF(K5&gt;=12,"AIII","AI")</f>
        <v>#REF!</v>
      </c>
      <c r="M5" s="1580" t="e">
        <f>+D6+C6</f>
        <v>#REF!</v>
      </c>
      <c r="N5" s="1679" t="e">
        <f>+Tra!L143</f>
        <v>#REF!</v>
      </c>
      <c r="O5" s="1694" t="e">
        <f>+N5*M5/1000</f>
        <v>#REF!</v>
      </c>
      <c r="P5" s="1685">
        <v>25</v>
      </c>
      <c r="Q5" s="1702" t="str">
        <f>+IF(P5&gt;=12,"AIII","AI")</f>
        <v>AIII</v>
      </c>
      <c r="R5" s="1677">
        <f>+SUMIF($K$5:$K$66,P5,$O$5:$O$66)</f>
        <v>0</v>
      </c>
      <c r="S5" s="1677">
        <f>+ROUND(ROUND(P5^2*3.14/4/1000000*7850,3)*R5,2)</f>
        <v>0</v>
      </c>
      <c r="T5" s="1677" t="e">
        <f>+SUM(S5:S17)</f>
        <v>#REF!</v>
      </c>
    </row>
    <row r="6" spans="2:20" ht="18.75" customHeight="1">
      <c r="B6" s="1672"/>
      <c r="C6" s="334">
        <v>250</v>
      </c>
      <c r="D6" s="1708" t="e">
        <f>+Tra!K143*1000-C6</f>
        <v>#REF!</v>
      </c>
      <c r="E6" s="1709"/>
      <c r="F6" s="1709"/>
      <c r="G6" s="1709"/>
      <c r="H6" s="1709"/>
      <c r="I6" s="1709"/>
      <c r="J6" s="339"/>
      <c r="K6" s="1689"/>
      <c r="L6" s="1703"/>
      <c r="M6" s="1672"/>
      <c r="N6" s="1680"/>
      <c r="O6" s="1695"/>
      <c r="P6" s="1689"/>
      <c r="Q6" s="1703"/>
      <c r="R6" s="1692"/>
      <c r="S6" s="1692"/>
      <c r="T6" s="1692"/>
    </row>
    <row r="7" spans="2:20" ht="9" customHeight="1">
      <c r="B7" s="1581"/>
      <c r="C7" s="335"/>
      <c r="D7" s="336"/>
      <c r="E7" s="337"/>
      <c r="F7" s="337"/>
      <c r="G7" s="337"/>
      <c r="H7" s="336"/>
      <c r="I7" s="336"/>
      <c r="J7" s="338"/>
      <c r="K7" s="1686"/>
      <c r="L7" s="1704"/>
      <c r="M7" s="1581"/>
      <c r="N7" s="1681"/>
      <c r="O7" s="1696"/>
      <c r="P7" s="1686"/>
      <c r="Q7" s="1704"/>
      <c r="R7" s="1678"/>
      <c r="S7" s="1678"/>
      <c r="T7" s="1692"/>
    </row>
    <row r="8" spans="2:20" ht="17.25" customHeight="1">
      <c r="B8" s="1672">
        <f>+Tra!I144</f>
        <v>2</v>
      </c>
      <c r="C8" s="330"/>
      <c r="D8" s="1710" t="e">
        <f>+Tra!K144*1000</f>
        <v>#REF!</v>
      </c>
      <c r="E8" s="1710"/>
      <c r="F8" s="1710"/>
      <c r="G8" s="1710"/>
      <c r="H8" s="1710"/>
      <c r="I8" s="1710"/>
      <c r="J8" s="333"/>
      <c r="K8" s="1689" t="e">
        <f>+Tra!J144</f>
        <v>#REF!</v>
      </c>
      <c r="L8" s="1702" t="e">
        <f>+IF(K8&gt;=12,"AIII","AI")</f>
        <v>#REF!</v>
      </c>
      <c r="M8" s="1672" t="e">
        <f>+D8</f>
        <v>#REF!</v>
      </c>
      <c r="N8" s="1679" t="e">
        <f>+Tra!L144</f>
        <v>#REF!</v>
      </c>
      <c r="O8" s="1695" t="e">
        <f>+N8*M8/1000</f>
        <v>#REF!</v>
      </c>
      <c r="P8" s="1693">
        <v>16</v>
      </c>
      <c r="Q8" s="1676" t="str">
        <f>+IF(P8&gt;=12,"AIII","AI")</f>
        <v>AIII</v>
      </c>
      <c r="R8" s="1677">
        <f>+SUMIF($K$5:$K$66,P8,$O$5:$O$66)</f>
        <v>0</v>
      </c>
      <c r="S8" s="1677">
        <f>+ROUND(ROUND(P8^2*3.14/4/1000000*7850,3)*R8,2)</f>
        <v>0</v>
      </c>
      <c r="T8" s="351"/>
    </row>
    <row r="9" spans="2:20" ht="9.75" customHeight="1">
      <c r="B9" s="1581"/>
      <c r="C9" s="335"/>
      <c r="D9" s="336"/>
      <c r="E9" s="337"/>
      <c r="F9" s="337"/>
      <c r="G9" s="337"/>
      <c r="H9" s="336"/>
      <c r="I9" s="336"/>
      <c r="J9" s="338"/>
      <c r="K9" s="1686"/>
      <c r="L9" s="1704"/>
      <c r="M9" s="1581"/>
      <c r="N9" s="1680"/>
      <c r="O9" s="1696"/>
      <c r="P9" s="1693"/>
      <c r="Q9" s="1676"/>
      <c r="R9" s="1678"/>
      <c r="S9" s="1678"/>
      <c r="T9" s="351"/>
    </row>
    <row r="10" spans="2:20" ht="17.25" customHeight="1">
      <c r="B10" s="1672" t="str">
        <f>+Tra!I145</f>
        <v>2a</v>
      </c>
      <c r="C10" s="330"/>
      <c r="D10" s="1710" t="e">
        <f>+Tra!K145*1000</f>
        <v>#REF!</v>
      </c>
      <c r="E10" s="1710"/>
      <c r="F10" s="1710"/>
      <c r="G10" s="1710"/>
      <c r="H10" s="1710"/>
      <c r="I10" s="1710"/>
      <c r="J10" s="333"/>
      <c r="K10" s="1689" t="e">
        <f>+Tra!J145</f>
        <v>#REF!</v>
      </c>
      <c r="L10" s="1702" t="e">
        <f>+IF(K10&gt;=12,"AIII","AI")</f>
        <v>#REF!</v>
      </c>
      <c r="M10" s="1672" t="e">
        <f>+D10</f>
        <v>#REF!</v>
      </c>
      <c r="N10" s="1679">
        <f>+Tra!L145</f>
        <v>0</v>
      </c>
      <c r="O10" s="1695" t="e">
        <f>+N10*M10/1000</f>
        <v>#REF!</v>
      </c>
      <c r="P10" s="1693">
        <v>14</v>
      </c>
      <c r="Q10" s="1676" t="str">
        <f>+IF(P10&gt;=12,"AIII","AI")</f>
        <v>AIII</v>
      </c>
      <c r="R10" s="1677">
        <f>+SUMIF($K$5:$K$66,P10,$O$5:$O$66)</f>
        <v>0</v>
      </c>
      <c r="S10" s="1677">
        <f>+ROUND(ROUND(P10^2*3.14/4/1000000*7850,3)*R10,2)</f>
        <v>0</v>
      </c>
      <c r="T10" s="351"/>
    </row>
    <row r="11" spans="2:20" ht="9.75" customHeight="1">
      <c r="B11" s="1581"/>
      <c r="C11" s="335"/>
      <c r="D11" s="336"/>
      <c r="E11" s="337"/>
      <c r="F11" s="337"/>
      <c r="G11" s="337"/>
      <c r="H11" s="336"/>
      <c r="I11" s="336"/>
      <c r="J11" s="338"/>
      <c r="K11" s="1686"/>
      <c r="L11" s="1704"/>
      <c r="M11" s="1581"/>
      <c r="N11" s="1680"/>
      <c r="O11" s="1696"/>
      <c r="P11" s="1693"/>
      <c r="Q11" s="1676"/>
      <c r="R11" s="1678"/>
      <c r="S11" s="1678"/>
      <c r="T11" s="351"/>
    </row>
    <row r="12" spans="2:20" ht="17.25" customHeight="1">
      <c r="B12" s="1672" t="e">
        <f>+Tra!I146</f>
        <v>#REF!</v>
      </c>
      <c r="C12" s="330"/>
      <c r="D12" s="1710" t="e">
        <f>+Tra!K146*1000</f>
        <v>#REF!</v>
      </c>
      <c r="E12" s="1710"/>
      <c r="F12" s="1710"/>
      <c r="G12" s="1710"/>
      <c r="H12" s="1710"/>
      <c r="I12" s="1710"/>
      <c r="J12" s="333"/>
      <c r="K12" s="1689" t="e">
        <f>+Tra!J146</f>
        <v>#REF!</v>
      </c>
      <c r="L12" s="1702" t="e">
        <f>+IF(K12&gt;=12,"AIII","AI")</f>
        <v>#REF!</v>
      </c>
      <c r="M12" s="1672" t="e">
        <f>+D12</f>
        <v>#REF!</v>
      </c>
      <c r="N12" s="1679" t="e">
        <f>+Tra!L146</f>
        <v>#REF!</v>
      </c>
      <c r="O12" s="1695" t="e">
        <f>+N12*M12/1000</f>
        <v>#REF!</v>
      </c>
      <c r="P12" s="1693">
        <v>12</v>
      </c>
      <c r="Q12" s="1676" t="str">
        <f>+IF(P12&gt;=12,"AIII","AI")</f>
        <v>AIII</v>
      </c>
      <c r="R12" s="1677">
        <f>+SUMIF($K$5:$K$66,P12,$O$5:$O$66)</f>
        <v>0</v>
      </c>
      <c r="S12" s="1677">
        <f>+ROUND(ROUND(P12^2*3.14/4/1000000*7850,3)*R12,2)</f>
        <v>0</v>
      </c>
      <c r="T12" s="351"/>
    </row>
    <row r="13" spans="2:20" ht="9.75" customHeight="1">
      <c r="B13" s="1581"/>
      <c r="C13" s="335"/>
      <c r="D13" s="336"/>
      <c r="E13" s="337"/>
      <c r="F13" s="337"/>
      <c r="G13" s="337"/>
      <c r="H13" s="336"/>
      <c r="I13" s="336"/>
      <c r="J13" s="338"/>
      <c r="K13" s="1686"/>
      <c r="L13" s="1704"/>
      <c r="M13" s="1581"/>
      <c r="N13" s="1680"/>
      <c r="O13" s="1696"/>
      <c r="P13" s="1693"/>
      <c r="Q13" s="1676"/>
      <c r="R13" s="1678"/>
      <c r="S13" s="1678"/>
      <c r="T13" s="351"/>
    </row>
    <row r="14" spans="2:20" ht="17.25" customHeight="1">
      <c r="B14" s="1672" t="str">
        <f>+Tra!I147</f>
        <v>3a</v>
      </c>
      <c r="C14" s="330"/>
      <c r="D14" s="1710" t="e">
        <f>+Tra!K147*1000</f>
        <v>#REF!</v>
      </c>
      <c r="E14" s="1710"/>
      <c r="F14" s="1710"/>
      <c r="G14" s="1710"/>
      <c r="H14" s="1710"/>
      <c r="I14" s="1710"/>
      <c r="J14" s="333"/>
      <c r="K14" s="1689" t="e">
        <f>+Tra!J147</f>
        <v>#REF!</v>
      </c>
      <c r="L14" s="1702" t="e">
        <f>+IF(K14&gt;=12,"AIII","AI")</f>
        <v>#REF!</v>
      </c>
      <c r="M14" s="1672" t="e">
        <f>+D14</f>
        <v>#REF!</v>
      </c>
      <c r="N14" s="1679">
        <f>+Tra!L147</f>
        <v>0</v>
      </c>
      <c r="O14" s="1695" t="e">
        <f>+N14*M14/1000</f>
        <v>#REF!</v>
      </c>
      <c r="P14" s="1693">
        <v>10</v>
      </c>
      <c r="Q14" s="1676" t="str">
        <f>+IF(P14&gt;=12,"AIII","AI")</f>
        <v>AI</v>
      </c>
      <c r="R14" s="1677" t="e">
        <f>+SUMIF($K$5:$K$66,P14,$O$5:$O$66)</f>
        <v>#REF!</v>
      </c>
      <c r="S14" s="1677" t="e">
        <f>+ROUND(ROUND(P14^2*3.14/4/1000000*7850,3)*R14,2)</f>
        <v>#REF!</v>
      </c>
      <c r="T14" s="351"/>
    </row>
    <row r="15" spans="2:20" ht="9.75" customHeight="1">
      <c r="B15" s="1581"/>
      <c r="C15" s="335"/>
      <c r="D15" s="336"/>
      <c r="E15" s="337"/>
      <c r="F15" s="337"/>
      <c r="G15" s="337"/>
      <c r="H15" s="336"/>
      <c r="I15" s="336"/>
      <c r="J15" s="338"/>
      <c r="K15" s="1686"/>
      <c r="L15" s="1704"/>
      <c r="M15" s="1581"/>
      <c r="N15" s="1680"/>
      <c r="O15" s="1696"/>
      <c r="P15" s="1693"/>
      <c r="Q15" s="1676"/>
      <c r="R15" s="1678"/>
      <c r="S15" s="1678"/>
      <c r="T15" s="351"/>
    </row>
    <row r="16" spans="2:20" ht="17.25" customHeight="1">
      <c r="B16" s="1672">
        <f>+Tra!I148</f>
        <v>4</v>
      </c>
      <c r="C16" s="330"/>
      <c r="D16" s="1710" t="e">
        <f>+Tra!K148*1000</f>
        <v>#REF!</v>
      </c>
      <c r="E16" s="1710"/>
      <c r="F16" s="1710"/>
      <c r="G16" s="1710"/>
      <c r="H16" s="1710"/>
      <c r="I16" s="1710"/>
      <c r="J16" s="333"/>
      <c r="K16" s="1689" t="e">
        <f>+Tra!J148</f>
        <v>#REF!</v>
      </c>
      <c r="L16" s="1702" t="e">
        <f>+IF(K16&gt;=12,"AIII","AI")</f>
        <v>#REF!</v>
      </c>
      <c r="M16" s="1672" t="e">
        <f>+D16</f>
        <v>#REF!</v>
      </c>
      <c r="N16" s="1679" t="e">
        <f>+Tra!L148</f>
        <v>#REF!</v>
      </c>
      <c r="O16" s="1695" t="e">
        <f>+N16*M16/1000</f>
        <v>#REF!</v>
      </c>
      <c r="P16" s="1693">
        <v>8</v>
      </c>
      <c r="Q16" s="1676" t="str">
        <f>+IF(P16&gt;=12,"AIII","AI")</f>
        <v>AI</v>
      </c>
      <c r="R16" s="1677">
        <f>+SUMIF($K$5:$K$66,P16,$O$5:$O$66)</f>
        <v>0</v>
      </c>
      <c r="S16" s="1677">
        <f>+ROUND(ROUND(P16^2*3.14/4/1000000*7850,3)*R16,2)</f>
        <v>0</v>
      </c>
      <c r="T16" s="351"/>
    </row>
    <row r="17" spans="2:20" ht="9.75" customHeight="1">
      <c r="B17" s="1581"/>
      <c r="C17" s="335"/>
      <c r="D17" s="336"/>
      <c r="E17" s="337"/>
      <c r="F17" s="337"/>
      <c r="G17" s="337"/>
      <c r="H17" s="336"/>
      <c r="I17" s="336"/>
      <c r="J17" s="338"/>
      <c r="K17" s="1686"/>
      <c r="L17" s="1704"/>
      <c r="M17" s="1581"/>
      <c r="N17" s="1680"/>
      <c r="O17" s="1696"/>
      <c r="P17" s="1693"/>
      <c r="Q17" s="1676"/>
      <c r="R17" s="1678"/>
      <c r="S17" s="1678"/>
      <c r="T17" s="351"/>
    </row>
    <row r="18" spans="2:20" ht="17.25" customHeight="1">
      <c r="B18" s="1672" t="str">
        <f>+Tra!I149</f>
        <v>4a</v>
      </c>
      <c r="C18" s="330"/>
      <c r="D18" s="1710" t="e">
        <f>+Tra!K149*1000</f>
        <v>#REF!</v>
      </c>
      <c r="E18" s="1710"/>
      <c r="F18" s="1710"/>
      <c r="G18" s="1710"/>
      <c r="H18" s="1710"/>
      <c r="I18" s="1710"/>
      <c r="J18" s="333"/>
      <c r="K18" s="1689" t="e">
        <f>+Tra!J149</f>
        <v>#REF!</v>
      </c>
      <c r="L18" s="1702" t="e">
        <f>+IF(K18&gt;=12,"AIII","AI")</f>
        <v>#REF!</v>
      </c>
      <c r="M18" s="1672" t="e">
        <f>+D18</f>
        <v>#REF!</v>
      </c>
      <c r="N18" s="1679" t="e">
        <f>+Tra!L149</f>
        <v>#REF!</v>
      </c>
      <c r="O18" s="1695" t="e">
        <f>+N18*M18/1000</f>
        <v>#REF!</v>
      </c>
      <c r="P18" s="352"/>
      <c r="Q18" s="353"/>
      <c r="R18" s="353"/>
      <c r="S18" s="353"/>
      <c r="T18" s="351"/>
    </row>
    <row r="19" spans="2:20" ht="9.75" customHeight="1">
      <c r="B19" s="1581"/>
      <c r="C19" s="335"/>
      <c r="D19" s="336"/>
      <c r="E19" s="337"/>
      <c r="F19" s="337"/>
      <c r="G19" s="337"/>
      <c r="H19" s="336"/>
      <c r="I19" s="336"/>
      <c r="J19" s="338"/>
      <c r="K19" s="1686"/>
      <c r="L19" s="1704"/>
      <c r="M19" s="1581"/>
      <c r="N19" s="1680"/>
      <c r="O19" s="1696"/>
      <c r="P19" s="352"/>
      <c r="Q19" s="353"/>
      <c r="R19" s="353"/>
      <c r="S19" s="353"/>
      <c r="T19" s="351"/>
    </row>
    <row r="20" spans="2:20" ht="17.25" customHeight="1">
      <c r="B20" s="1672" t="str">
        <f>+Tra!I150</f>
        <v>4b</v>
      </c>
      <c r="C20" s="330"/>
      <c r="D20" s="1710" t="e">
        <f>+Tra!K150*1000</f>
        <v>#REF!</v>
      </c>
      <c r="E20" s="1710"/>
      <c r="F20" s="1710"/>
      <c r="G20" s="1710"/>
      <c r="H20" s="1710"/>
      <c r="I20" s="1710"/>
      <c r="J20" s="333"/>
      <c r="K20" s="1689" t="e">
        <f>+Tra!J150</f>
        <v>#REF!</v>
      </c>
      <c r="L20" s="1702" t="e">
        <f>+IF(K20&gt;=12,"AIII","AI")</f>
        <v>#REF!</v>
      </c>
      <c r="M20" s="1672" t="e">
        <f>+D20</f>
        <v>#REF!</v>
      </c>
      <c r="N20" s="1679" t="e">
        <f>+Tra!L150</f>
        <v>#REF!</v>
      </c>
      <c r="O20" s="1695" t="e">
        <f>+N20*M20/1000</f>
        <v>#REF!</v>
      </c>
      <c r="P20" s="352"/>
      <c r="Q20" s="353"/>
      <c r="R20" s="353"/>
      <c r="S20" s="353"/>
      <c r="T20" s="351"/>
    </row>
    <row r="21" spans="2:20" ht="9.75" customHeight="1">
      <c r="B21" s="1581"/>
      <c r="C21" s="335"/>
      <c r="D21" s="336"/>
      <c r="E21" s="337"/>
      <c r="F21" s="337"/>
      <c r="G21" s="337"/>
      <c r="H21" s="336"/>
      <c r="I21" s="336"/>
      <c r="J21" s="338"/>
      <c r="K21" s="1686"/>
      <c r="L21" s="1704"/>
      <c r="M21" s="1581"/>
      <c r="N21" s="1680"/>
      <c r="O21" s="1696"/>
      <c r="P21" s="352"/>
      <c r="Q21" s="353"/>
      <c r="R21" s="353"/>
      <c r="S21" s="353"/>
      <c r="T21" s="351"/>
    </row>
    <row r="22" spans="2:20" ht="17.25" customHeight="1">
      <c r="B22" s="1672" t="str">
        <f>+Tra!I151</f>
        <v>4c</v>
      </c>
      <c r="C22" s="330"/>
      <c r="D22" s="1710" t="e">
        <f>+Tra!K151*1000</f>
        <v>#REF!</v>
      </c>
      <c r="E22" s="1710"/>
      <c r="F22" s="1710"/>
      <c r="G22" s="1710"/>
      <c r="H22" s="1710"/>
      <c r="I22" s="1710"/>
      <c r="J22" s="333"/>
      <c r="K22" s="1689" t="e">
        <f>+Tra!J151</f>
        <v>#REF!</v>
      </c>
      <c r="L22" s="1702" t="e">
        <f>+IF(K22&gt;=12,"AIII","AI")</f>
        <v>#REF!</v>
      </c>
      <c r="M22" s="1672" t="e">
        <f>+D22</f>
        <v>#REF!</v>
      </c>
      <c r="N22" s="1679" t="e">
        <f>+Tra!L151</f>
        <v>#REF!</v>
      </c>
      <c r="O22" s="1695" t="e">
        <f>+N22*M22/1000</f>
        <v>#REF!</v>
      </c>
      <c r="P22" s="352"/>
      <c r="Q22" s="353"/>
      <c r="R22" s="353"/>
      <c r="S22" s="353"/>
      <c r="T22" s="351"/>
    </row>
    <row r="23" spans="2:20" ht="9.75" customHeight="1">
      <c r="B23" s="1581"/>
      <c r="C23" s="335"/>
      <c r="D23" s="336"/>
      <c r="E23" s="337"/>
      <c r="F23" s="337"/>
      <c r="G23" s="337"/>
      <c r="H23" s="336"/>
      <c r="I23" s="336"/>
      <c r="J23" s="338"/>
      <c r="K23" s="1686"/>
      <c r="L23" s="1704"/>
      <c r="M23" s="1581"/>
      <c r="N23" s="1681"/>
      <c r="O23" s="1696"/>
      <c r="P23" s="352"/>
      <c r="Q23" s="353"/>
      <c r="R23" s="353"/>
      <c r="S23" s="353"/>
      <c r="T23" s="351"/>
    </row>
    <row r="24" spans="2:20" ht="17.25" customHeight="1">
      <c r="B24" s="1672" t="str">
        <f>+Tra!I152</f>
        <v>4d</v>
      </c>
      <c r="C24" s="330"/>
      <c r="D24" s="1710">
        <f>+Tra!K152*1000</f>
        <v>0</v>
      </c>
      <c r="E24" s="1710"/>
      <c r="F24" s="1710"/>
      <c r="G24" s="1710"/>
      <c r="H24" s="1710"/>
      <c r="I24" s="1710"/>
      <c r="J24" s="333"/>
      <c r="K24" s="1689" t="e">
        <f>+Tra!J152</f>
        <v>#REF!</v>
      </c>
      <c r="L24" s="1702" t="e">
        <f>+IF(K24&gt;=12,"AIII","AI")</f>
        <v>#REF!</v>
      </c>
      <c r="M24" s="1672">
        <f>+D24</f>
        <v>0</v>
      </c>
      <c r="N24" s="1679" t="e">
        <f>+Tra!L152</f>
        <v>#REF!</v>
      </c>
      <c r="O24" s="1695" t="e">
        <f>+N24*M24/1000</f>
        <v>#REF!</v>
      </c>
      <c r="P24" s="352"/>
      <c r="Q24" s="353"/>
      <c r="R24" s="353"/>
      <c r="S24" s="353"/>
      <c r="T24" s="351"/>
    </row>
    <row r="25" spans="2:20" ht="9.75" customHeight="1">
      <c r="B25" s="1581"/>
      <c r="C25" s="335"/>
      <c r="D25" s="336"/>
      <c r="E25" s="337"/>
      <c r="F25" s="337"/>
      <c r="G25" s="337"/>
      <c r="H25" s="336"/>
      <c r="I25" s="336"/>
      <c r="J25" s="338"/>
      <c r="K25" s="1686"/>
      <c r="L25" s="1704"/>
      <c r="M25" s="1581"/>
      <c r="N25" s="1681"/>
      <c r="O25" s="1696"/>
      <c r="P25" s="352"/>
      <c r="Q25" s="353"/>
      <c r="R25" s="353"/>
      <c r="S25" s="353"/>
      <c r="T25" s="351"/>
    </row>
    <row r="26" spans="2:20" ht="17.25" customHeight="1">
      <c r="B26" s="1672" t="str">
        <f>+Tra!I153</f>
        <v>4e</v>
      </c>
      <c r="C26" s="330"/>
      <c r="D26" s="1710">
        <f>+Tra!K153*1000</f>
        <v>0</v>
      </c>
      <c r="E26" s="1710"/>
      <c r="F26" s="1710"/>
      <c r="G26" s="1710"/>
      <c r="H26" s="1710"/>
      <c r="I26" s="1710"/>
      <c r="J26" s="333"/>
      <c r="K26" s="1689" t="e">
        <f>+Tra!J153</f>
        <v>#REF!</v>
      </c>
      <c r="L26" s="1702" t="e">
        <f>+IF(K26&gt;=12,"AIII","AI")</f>
        <v>#REF!</v>
      </c>
      <c r="M26" s="1672">
        <f>+D26</f>
        <v>0</v>
      </c>
      <c r="N26" s="1679" t="e">
        <f>+Tra!L153</f>
        <v>#REF!</v>
      </c>
      <c r="O26" s="1695" t="e">
        <f>+N26*M26/1000</f>
        <v>#REF!</v>
      </c>
      <c r="P26" s="352"/>
      <c r="Q26" s="353"/>
      <c r="R26" s="353"/>
      <c r="S26" s="353"/>
      <c r="T26" s="351"/>
    </row>
    <row r="27" spans="2:20" ht="9.75" customHeight="1">
      <c r="B27" s="1581"/>
      <c r="C27" s="335"/>
      <c r="D27" s="336"/>
      <c r="E27" s="337"/>
      <c r="F27" s="337"/>
      <c r="G27" s="337"/>
      <c r="H27" s="336"/>
      <c r="I27" s="336"/>
      <c r="J27" s="338"/>
      <c r="K27" s="1686"/>
      <c r="L27" s="1704"/>
      <c r="M27" s="1581"/>
      <c r="N27" s="1681"/>
      <c r="O27" s="1696"/>
      <c r="P27" s="352"/>
      <c r="Q27" s="353"/>
      <c r="R27" s="353"/>
      <c r="S27" s="353"/>
      <c r="T27" s="351"/>
    </row>
    <row r="28" spans="2:20" ht="17.25" customHeight="1">
      <c r="B28" s="1672">
        <f>+Tra!I154</f>
        <v>5</v>
      </c>
      <c r="C28" s="330"/>
      <c r="D28" s="1710" t="e">
        <f>+Tra!K154*1000</f>
        <v>#REF!</v>
      </c>
      <c r="E28" s="1710"/>
      <c r="F28" s="1710"/>
      <c r="G28" s="1710"/>
      <c r="H28" s="1710"/>
      <c r="I28" s="1710"/>
      <c r="J28" s="333"/>
      <c r="K28" s="1689" t="e">
        <f>+Tra!J154</f>
        <v>#REF!</v>
      </c>
      <c r="L28" s="1702" t="e">
        <f>+IF(K28&gt;=12,"AIII","AI")</f>
        <v>#REF!</v>
      </c>
      <c r="M28" s="1672" t="e">
        <f>+D28</f>
        <v>#REF!</v>
      </c>
      <c r="N28" s="1679" t="e">
        <f>+Tra!L154</f>
        <v>#REF!</v>
      </c>
      <c r="O28" s="1695" t="e">
        <f>+N28*M28/1000</f>
        <v>#REF!</v>
      </c>
      <c r="P28" s="352"/>
      <c r="Q28" s="353"/>
      <c r="R28" s="353"/>
      <c r="S28" s="353"/>
      <c r="T28" s="351"/>
    </row>
    <row r="29" spans="2:20" ht="9.75" customHeight="1">
      <c r="B29" s="1581"/>
      <c r="C29" s="335"/>
      <c r="D29" s="336"/>
      <c r="E29" s="337"/>
      <c r="F29" s="337"/>
      <c r="G29" s="337"/>
      <c r="H29" s="336"/>
      <c r="I29" s="336"/>
      <c r="J29" s="338"/>
      <c r="K29" s="1686"/>
      <c r="L29" s="1704"/>
      <c r="M29" s="1581"/>
      <c r="N29" s="1681"/>
      <c r="O29" s="1696"/>
      <c r="P29" s="352"/>
      <c r="Q29" s="353"/>
      <c r="R29" s="353"/>
      <c r="S29" s="353"/>
      <c r="T29" s="351"/>
    </row>
    <row r="30" spans="2:20" ht="17.25" customHeight="1">
      <c r="B30" s="1672" t="str">
        <f>+Tra!I155</f>
        <v>5a</v>
      </c>
      <c r="C30" s="330"/>
      <c r="D30" s="1710" t="e">
        <f>+Tra!K155*1000</f>
        <v>#REF!</v>
      </c>
      <c r="E30" s="1710"/>
      <c r="F30" s="1710"/>
      <c r="G30" s="1710"/>
      <c r="H30" s="1710"/>
      <c r="I30" s="1710"/>
      <c r="J30" s="333"/>
      <c r="K30" s="1689" t="e">
        <f>+Tra!J155</f>
        <v>#REF!</v>
      </c>
      <c r="L30" s="1702" t="e">
        <f>+IF(K30&gt;=12,"AIII","AI")</f>
        <v>#REF!</v>
      </c>
      <c r="M30" s="1672" t="e">
        <f>+D30</f>
        <v>#REF!</v>
      </c>
      <c r="N30" s="1679" t="e">
        <f>+Tra!L155</f>
        <v>#REF!</v>
      </c>
      <c r="O30" s="1695" t="e">
        <f>+N30*M30/1000</f>
        <v>#REF!</v>
      </c>
      <c r="P30" s="352"/>
      <c r="Q30" s="353"/>
      <c r="R30" s="353"/>
      <c r="S30" s="353"/>
      <c r="T30" s="351"/>
    </row>
    <row r="31" spans="2:20" ht="9.75" customHeight="1">
      <c r="B31" s="1581"/>
      <c r="C31" s="335"/>
      <c r="D31" s="336"/>
      <c r="E31" s="337"/>
      <c r="F31" s="337"/>
      <c r="G31" s="337"/>
      <c r="H31" s="336"/>
      <c r="I31" s="336"/>
      <c r="J31" s="338"/>
      <c r="K31" s="1686"/>
      <c r="L31" s="1704"/>
      <c r="M31" s="1581"/>
      <c r="N31" s="1681"/>
      <c r="O31" s="1696"/>
      <c r="P31" s="352"/>
      <c r="Q31" s="353"/>
      <c r="R31" s="353"/>
      <c r="S31" s="353"/>
      <c r="T31" s="351"/>
    </row>
    <row r="32" spans="2:20" ht="17.25" customHeight="1">
      <c r="B32" s="1672" t="str">
        <f>+Tra!I156</f>
        <v>5b</v>
      </c>
      <c r="C32" s="330"/>
      <c r="D32" s="1710" t="e">
        <f>+Tra!K156*1000</f>
        <v>#REF!</v>
      </c>
      <c r="E32" s="1710"/>
      <c r="F32" s="1710"/>
      <c r="G32" s="1710"/>
      <c r="H32" s="1710"/>
      <c r="I32" s="1710"/>
      <c r="J32" s="333"/>
      <c r="K32" s="1689" t="e">
        <f>+Tra!J156</f>
        <v>#REF!</v>
      </c>
      <c r="L32" s="1702" t="e">
        <f>+IF(K32&gt;=12,"AIII","AI")</f>
        <v>#REF!</v>
      </c>
      <c r="M32" s="1672" t="e">
        <f>+D32</f>
        <v>#REF!</v>
      </c>
      <c r="N32" s="1679" t="e">
        <f>+Tra!L156</f>
        <v>#REF!</v>
      </c>
      <c r="O32" s="1695" t="e">
        <f>+N32*M32/1000</f>
        <v>#REF!</v>
      </c>
      <c r="P32" s="352"/>
      <c r="Q32" s="353"/>
      <c r="R32" s="353"/>
      <c r="S32" s="353"/>
      <c r="T32" s="351"/>
    </row>
    <row r="33" spans="2:20" ht="9.75" customHeight="1">
      <c r="B33" s="1581"/>
      <c r="C33" s="335"/>
      <c r="D33" s="336"/>
      <c r="E33" s="337"/>
      <c r="F33" s="337"/>
      <c r="G33" s="337"/>
      <c r="H33" s="336"/>
      <c r="I33" s="336"/>
      <c r="J33" s="338"/>
      <c r="K33" s="1686"/>
      <c r="L33" s="1704"/>
      <c r="M33" s="1581"/>
      <c r="N33" s="1681"/>
      <c r="O33" s="1696"/>
      <c r="P33" s="352"/>
      <c r="Q33" s="353"/>
      <c r="R33" s="353"/>
      <c r="S33" s="353"/>
      <c r="T33" s="351"/>
    </row>
    <row r="34" spans="2:20" ht="17.25" customHeight="1">
      <c r="B34" s="1672" t="str">
        <f>+Tra!I157</f>
        <v>5c</v>
      </c>
      <c r="C34" s="330"/>
      <c r="D34" s="1710" t="e">
        <f>+Tra!K157*1000</f>
        <v>#REF!</v>
      </c>
      <c r="E34" s="1710"/>
      <c r="F34" s="1710"/>
      <c r="G34" s="1710"/>
      <c r="H34" s="1710"/>
      <c r="I34" s="1710"/>
      <c r="J34" s="333"/>
      <c r="K34" s="1689" t="e">
        <f>+Tra!J157</f>
        <v>#REF!</v>
      </c>
      <c r="L34" s="1702" t="e">
        <f>+IF(K34&gt;=12,"AIII","AI")</f>
        <v>#REF!</v>
      </c>
      <c r="M34" s="1672" t="e">
        <f>+D34</f>
        <v>#REF!</v>
      </c>
      <c r="N34" s="1679" t="e">
        <f>+Tra!L157</f>
        <v>#REF!</v>
      </c>
      <c r="O34" s="1695" t="e">
        <f>+N34*M34/1000</f>
        <v>#REF!</v>
      </c>
      <c r="P34" s="352"/>
      <c r="Q34" s="353"/>
      <c r="R34" s="353"/>
      <c r="S34" s="353"/>
      <c r="T34" s="351"/>
    </row>
    <row r="35" spans="2:20" ht="9.75" customHeight="1">
      <c r="B35" s="1581"/>
      <c r="C35" s="335"/>
      <c r="D35" s="336"/>
      <c r="E35" s="337"/>
      <c r="F35" s="337"/>
      <c r="G35" s="337"/>
      <c r="H35" s="336"/>
      <c r="I35" s="336"/>
      <c r="J35" s="338"/>
      <c r="K35" s="1686"/>
      <c r="L35" s="1704"/>
      <c r="M35" s="1581"/>
      <c r="N35" s="1681"/>
      <c r="O35" s="1696"/>
      <c r="P35" s="352"/>
      <c r="Q35" s="353"/>
      <c r="R35" s="353"/>
      <c r="S35" s="353"/>
      <c r="T35" s="351"/>
    </row>
    <row r="36" spans="2:20" ht="17.25" customHeight="1">
      <c r="B36" s="1672" t="str">
        <f>+Tra!I158</f>
        <v>5d</v>
      </c>
      <c r="C36" s="330"/>
      <c r="D36" s="1710">
        <f>+Tra!K158*1000</f>
        <v>0</v>
      </c>
      <c r="E36" s="1710"/>
      <c r="F36" s="1710"/>
      <c r="G36" s="1710"/>
      <c r="H36" s="1710"/>
      <c r="I36" s="1710"/>
      <c r="J36" s="333"/>
      <c r="K36" s="1689" t="e">
        <f>+Tra!J158</f>
        <v>#REF!</v>
      </c>
      <c r="L36" s="1702" t="e">
        <f>+IF(K36&gt;=12,"AIII","AI")</f>
        <v>#REF!</v>
      </c>
      <c r="M36" s="1672">
        <f>+D36</f>
        <v>0</v>
      </c>
      <c r="N36" s="1679" t="e">
        <f>+Tra!L158</f>
        <v>#REF!</v>
      </c>
      <c r="O36" s="1695" t="e">
        <f>+N36*M36/1000</f>
        <v>#REF!</v>
      </c>
      <c r="P36" s="352"/>
      <c r="Q36" s="353"/>
      <c r="R36" s="353"/>
      <c r="S36" s="353"/>
      <c r="T36" s="351"/>
    </row>
    <row r="37" spans="2:20" ht="9.75" customHeight="1">
      <c r="B37" s="1581"/>
      <c r="C37" s="335"/>
      <c r="D37" s="336"/>
      <c r="E37" s="337"/>
      <c r="F37" s="337"/>
      <c r="G37" s="337"/>
      <c r="H37" s="336"/>
      <c r="I37" s="336"/>
      <c r="J37" s="338"/>
      <c r="K37" s="1686"/>
      <c r="L37" s="1704"/>
      <c r="M37" s="1581"/>
      <c r="N37" s="1681"/>
      <c r="O37" s="1696"/>
      <c r="P37" s="352"/>
      <c r="Q37" s="353"/>
      <c r="R37" s="353"/>
      <c r="S37" s="353"/>
      <c r="T37" s="351"/>
    </row>
    <row r="38" spans="2:20" ht="17.25" customHeight="1">
      <c r="B38" s="1672" t="str">
        <f>+Tra!I159</f>
        <v>5e</v>
      </c>
      <c r="C38" s="330"/>
      <c r="D38" s="1710">
        <f>+Tra!K159*1000</f>
        <v>0</v>
      </c>
      <c r="E38" s="1710"/>
      <c r="F38" s="1710"/>
      <c r="G38" s="1710"/>
      <c r="H38" s="1710"/>
      <c r="I38" s="1710"/>
      <c r="J38" s="333"/>
      <c r="K38" s="1689" t="e">
        <f>+Tra!J159</f>
        <v>#REF!</v>
      </c>
      <c r="L38" s="1702" t="e">
        <f>+IF(K38&gt;=12,"AIII","AI")</f>
        <v>#REF!</v>
      </c>
      <c r="M38" s="1672">
        <f>+Tra!K159*1000</f>
        <v>0</v>
      </c>
      <c r="N38" s="1679" t="e">
        <f>+Tra!L159</f>
        <v>#REF!</v>
      </c>
      <c r="O38" s="1695" t="e">
        <f>+N38*M38/1000</f>
        <v>#REF!</v>
      </c>
      <c r="P38" s="352"/>
      <c r="Q38" s="353"/>
      <c r="R38" s="353"/>
      <c r="S38" s="353"/>
      <c r="T38" s="351"/>
    </row>
    <row r="39" spans="2:20" ht="9.75" customHeight="1">
      <c r="B39" s="1581"/>
      <c r="C39" s="335"/>
      <c r="D39" s="336"/>
      <c r="E39" s="337"/>
      <c r="F39" s="337"/>
      <c r="G39" s="337"/>
      <c r="H39" s="336"/>
      <c r="I39" s="336"/>
      <c r="J39" s="338"/>
      <c r="K39" s="1686"/>
      <c r="L39" s="1704"/>
      <c r="M39" s="1581"/>
      <c r="N39" s="1681"/>
      <c r="O39" s="1696"/>
      <c r="P39" s="352"/>
      <c r="Q39" s="353"/>
      <c r="R39" s="353"/>
      <c r="S39" s="353"/>
      <c r="T39" s="351"/>
    </row>
    <row r="40" spans="2:20" ht="17.25" customHeight="1">
      <c r="B40" s="1672">
        <f>+Tra!I160</f>
        <v>6</v>
      </c>
      <c r="C40" s="330"/>
      <c r="D40" s="1710" t="e">
        <f>+Tra!K160*1000</f>
        <v>#REF!</v>
      </c>
      <c r="E40" s="1710"/>
      <c r="F40" s="1710"/>
      <c r="G40" s="1710"/>
      <c r="H40" s="1710"/>
      <c r="I40" s="1710"/>
      <c r="J40" s="333"/>
      <c r="K40" s="1689" t="e">
        <f>+Tra!J160</f>
        <v>#REF!</v>
      </c>
      <c r="L40" s="1702" t="e">
        <f>+IF(K40&gt;=12,"AIII","AI")</f>
        <v>#REF!</v>
      </c>
      <c r="M40" s="1672" t="e">
        <f>+D40</f>
        <v>#REF!</v>
      </c>
      <c r="N40" s="1679" t="e">
        <f>+Tra!L160</f>
        <v>#REF!</v>
      </c>
      <c r="O40" s="1695" t="e">
        <f>+N40*M40/1000</f>
        <v>#REF!</v>
      </c>
      <c r="P40" s="352"/>
      <c r="Q40" s="353"/>
      <c r="R40" s="353"/>
      <c r="S40" s="353"/>
      <c r="T40" s="351"/>
    </row>
    <row r="41" spans="2:20" ht="9.75" customHeight="1">
      <c r="B41" s="1581"/>
      <c r="C41" s="335"/>
      <c r="D41" s="336"/>
      <c r="E41" s="337"/>
      <c r="F41" s="337"/>
      <c r="G41" s="337"/>
      <c r="H41" s="336"/>
      <c r="I41" s="336"/>
      <c r="J41" s="338"/>
      <c r="K41" s="1686"/>
      <c r="L41" s="1704"/>
      <c r="M41" s="1581"/>
      <c r="N41" s="1681"/>
      <c r="O41" s="1696"/>
      <c r="P41" s="352"/>
      <c r="Q41" s="353"/>
      <c r="R41" s="353"/>
      <c r="S41" s="353"/>
      <c r="T41" s="351"/>
    </row>
    <row r="42" spans="2:20" ht="17.25" customHeight="1">
      <c r="B42" s="1672">
        <f>+Tra!I161</f>
        <v>7</v>
      </c>
      <c r="C42" s="330"/>
      <c r="D42" s="1710" t="e">
        <f>+Tra!K161*1000</f>
        <v>#REF!</v>
      </c>
      <c r="E42" s="1710"/>
      <c r="F42" s="1710"/>
      <c r="G42" s="1710"/>
      <c r="H42" s="1710"/>
      <c r="I42" s="1710"/>
      <c r="J42" s="333"/>
      <c r="K42" s="1689" t="e">
        <f>+Tra!J161</f>
        <v>#REF!</v>
      </c>
      <c r="L42" s="1687" t="e">
        <f>+IF(K42&gt;=12,"AIII","AI")</f>
        <v>#REF!</v>
      </c>
      <c r="M42" s="1672" t="e">
        <f>+D42</f>
        <v>#REF!</v>
      </c>
      <c r="N42" s="1679" t="e">
        <f>+Tra!L161</f>
        <v>#REF!</v>
      </c>
      <c r="O42" s="1695" t="e">
        <f>+N42*M42/1000</f>
        <v>#REF!</v>
      </c>
      <c r="P42" s="352"/>
      <c r="Q42" s="353"/>
      <c r="R42" s="353"/>
      <c r="S42" s="353"/>
      <c r="T42" s="351"/>
    </row>
    <row r="43" spans="2:20" ht="9.75" customHeight="1">
      <c r="B43" s="1581"/>
      <c r="C43" s="335"/>
      <c r="D43" s="336"/>
      <c r="E43" s="337"/>
      <c r="F43" s="337"/>
      <c r="G43" s="337"/>
      <c r="H43" s="336"/>
      <c r="I43" s="336"/>
      <c r="J43" s="338"/>
      <c r="K43" s="1686"/>
      <c r="L43" s="1688"/>
      <c r="M43" s="1581"/>
      <c r="N43" s="1681"/>
      <c r="O43" s="1696"/>
      <c r="P43" s="352"/>
      <c r="Q43" s="353"/>
      <c r="R43" s="353"/>
      <c r="S43" s="353"/>
      <c r="T43" s="351"/>
    </row>
    <row r="44" spans="2:20" ht="7.5" customHeight="1">
      <c r="B44" s="1580">
        <f>+Tra!I162</f>
        <v>8</v>
      </c>
      <c r="C44" s="340"/>
      <c r="D44" s="341"/>
      <c r="E44" s="342"/>
      <c r="F44" s="342"/>
      <c r="G44" s="342"/>
      <c r="H44" s="341"/>
      <c r="I44" s="341"/>
      <c r="J44" s="339"/>
      <c r="K44" s="1685">
        <f>+Tra!J162</f>
        <v>10</v>
      </c>
      <c r="L44" s="1687" t="str">
        <f>+IF(K44&gt;=12,"AIII","AI")</f>
        <v>AI</v>
      </c>
      <c r="M44" s="1580" t="e">
        <f>+J45+D45+C45</f>
        <v>#REF!</v>
      </c>
      <c r="N44" s="1679" t="e">
        <f>+Tra!L162</f>
        <v>#REF!</v>
      </c>
      <c r="O44" s="1694" t="e">
        <f>+N44*M44/1000</f>
        <v>#REF!</v>
      </c>
      <c r="P44" s="352"/>
      <c r="Q44" s="353"/>
      <c r="R44" s="353"/>
      <c r="S44" s="353"/>
      <c r="T44" s="351"/>
    </row>
    <row r="45" spans="2:20" ht="17.25" customHeight="1">
      <c r="B45" s="1672"/>
      <c r="C45" s="334">
        <v>50</v>
      </c>
      <c r="D45" s="1708" t="e">
        <f>+Tra!N162*1000</f>
        <v>#REF!</v>
      </c>
      <c r="E45" s="1709"/>
      <c r="F45" s="1709"/>
      <c r="G45" s="1709"/>
      <c r="H45" s="1709"/>
      <c r="I45" s="1711"/>
      <c r="J45" s="334">
        <v>50</v>
      </c>
      <c r="K45" s="1689"/>
      <c r="L45" s="1690"/>
      <c r="M45" s="1672"/>
      <c r="N45" s="1680"/>
      <c r="O45" s="1695"/>
      <c r="P45" s="352"/>
      <c r="Q45" s="353"/>
      <c r="R45" s="353"/>
      <c r="S45" s="353"/>
      <c r="T45" s="351"/>
    </row>
    <row r="46" spans="2:20" ht="7.5" customHeight="1">
      <c r="B46" s="1581"/>
      <c r="C46" s="335"/>
      <c r="D46" s="336"/>
      <c r="E46" s="337"/>
      <c r="F46" s="337"/>
      <c r="G46" s="337"/>
      <c r="H46" s="336"/>
      <c r="I46" s="336"/>
      <c r="J46" s="338"/>
      <c r="K46" s="1686"/>
      <c r="L46" s="1688"/>
      <c r="M46" s="1581"/>
      <c r="N46" s="1681"/>
      <c r="O46" s="1696"/>
      <c r="P46" s="352"/>
      <c r="Q46" s="353"/>
      <c r="R46" s="353"/>
      <c r="S46" s="353"/>
      <c r="T46" s="351"/>
    </row>
    <row r="47" spans="2:20" ht="8.25" customHeight="1">
      <c r="B47" s="1580">
        <f>+Tra!I163</f>
        <v>9</v>
      </c>
      <c r="C47" s="330"/>
      <c r="D47" s="331"/>
      <c r="E47" s="332"/>
      <c r="F47" s="332"/>
      <c r="G47" s="332"/>
      <c r="H47" s="331"/>
      <c r="I47" s="331"/>
      <c r="J47" s="333"/>
      <c r="K47" s="1685">
        <f>+Tra!J163</f>
        <v>10</v>
      </c>
      <c r="L47" s="1687" t="str">
        <f>+IF(K47&gt;=12,"AIII","AI")</f>
        <v>AI</v>
      </c>
      <c r="M47" s="1502" t="e">
        <f>+(E49*2+D49*2+H48*2)</f>
        <v>#REF!</v>
      </c>
      <c r="N47" s="1691" t="e">
        <f>+Tra!L163</f>
        <v>#REF!</v>
      </c>
      <c r="O47" s="1682" t="e">
        <f>+N47*M47/1000</f>
        <v>#REF!</v>
      </c>
      <c r="P47" s="352"/>
      <c r="Q47" s="353"/>
      <c r="R47" s="353"/>
      <c r="S47" s="353"/>
      <c r="T47" s="351"/>
    </row>
    <row r="48" spans="2:20" ht="12" customHeight="1">
      <c r="B48" s="1672"/>
      <c r="C48" s="340"/>
      <c r="D48" s="341"/>
      <c r="E48" s="342"/>
      <c r="F48" s="342"/>
      <c r="G48" s="342"/>
      <c r="H48" s="335">
        <v>60</v>
      </c>
      <c r="I48" s="341"/>
      <c r="J48" s="339"/>
      <c r="K48" s="1689"/>
      <c r="L48" s="1690"/>
      <c r="M48" s="1502"/>
      <c r="N48" s="1691"/>
      <c r="O48" s="1682"/>
      <c r="P48" s="352"/>
      <c r="Q48" s="353"/>
      <c r="R48" s="353"/>
      <c r="S48" s="353"/>
      <c r="T48" s="351"/>
    </row>
    <row r="49" spans="2:20" ht="21.75" customHeight="1">
      <c r="B49" s="1672"/>
      <c r="C49" s="343"/>
      <c r="D49" s="344" t="e">
        <f>+Tra!N163*1000</f>
        <v>#REF!</v>
      </c>
      <c r="E49" s="1712" t="e">
        <f>+Tra!O163*1000</f>
        <v>#REF!</v>
      </c>
      <c r="F49" s="1713"/>
      <c r="G49" s="1714"/>
      <c r="H49" s="341"/>
      <c r="I49" s="341"/>
      <c r="J49" s="339"/>
      <c r="K49" s="1689"/>
      <c r="L49" s="1690"/>
      <c r="M49" s="1502"/>
      <c r="N49" s="1691"/>
      <c r="O49" s="1682"/>
      <c r="P49" s="352"/>
      <c r="Q49" s="353"/>
      <c r="R49" s="353"/>
      <c r="S49" s="353"/>
      <c r="T49" s="351"/>
    </row>
    <row r="50" spans="2:20" ht="6.75" customHeight="1">
      <c r="B50" s="1581"/>
      <c r="C50" s="335"/>
      <c r="D50" s="336"/>
      <c r="E50" s="337"/>
      <c r="F50" s="337"/>
      <c r="G50" s="337"/>
      <c r="H50" s="336"/>
      <c r="I50" s="336"/>
      <c r="J50" s="338"/>
      <c r="K50" s="1686"/>
      <c r="L50" s="1688"/>
      <c r="M50" s="1502"/>
      <c r="N50" s="1691"/>
      <c r="O50" s="1682"/>
      <c r="P50" s="352"/>
      <c r="Q50" s="353"/>
      <c r="R50" s="353"/>
      <c r="S50" s="353"/>
      <c r="T50" s="351"/>
    </row>
    <row r="51" spans="2:20" ht="8.25" customHeight="1">
      <c r="B51" s="1580" t="str">
        <f>+Tra!I164</f>
        <v>9a</v>
      </c>
      <c r="C51" s="330"/>
      <c r="D51" s="331"/>
      <c r="E51" s="332"/>
      <c r="F51" s="332"/>
      <c r="G51" s="332"/>
      <c r="H51" s="331"/>
      <c r="I51" s="331"/>
      <c r="J51" s="333"/>
      <c r="K51" s="1685">
        <f>+Tra!J164</f>
        <v>10</v>
      </c>
      <c r="L51" s="1687" t="str">
        <f>+IF(K51&gt;=12,"AIII","AI")</f>
        <v>AI</v>
      </c>
      <c r="M51" s="1502" t="e">
        <f>+(E53*2+D53*2+H52*2)</f>
        <v>#REF!</v>
      </c>
      <c r="N51" s="1691" t="e">
        <f>+Tra!L164</f>
        <v>#REF!</v>
      </c>
      <c r="O51" s="1682" t="e">
        <f>+N51*M51/1000</f>
        <v>#REF!</v>
      </c>
      <c r="P51" s="352"/>
      <c r="Q51" s="353"/>
      <c r="R51" s="353"/>
      <c r="S51" s="353"/>
      <c r="T51" s="351"/>
    </row>
    <row r="52" spans="2:20" ht="12" customHeight="1">
      <c r="B52" s="1672"/>
      <c r="C52" s="340"/>
      <c r="D52" s="341"/>
      <c r="E52" s="342"/>
      <c r="F52" s="342"/>
      <c r="G52" s="342"/>
      <c r="H52" s="335">
        <v>60</v>
      </c>
      <c r="I52" s="341"/>
      <c r="J52" s="339"/>
      <c r="K52" s="1689"/>
      <c r="L52" s="1690"/>
      <c r="M52" s="1502"/>
      <c r="N52" s="1691"/>
      <c r="O52" s="1682"/>
      <c r="P52" s="352"/>
      <c r="Q52" s="353"/>
      <c r="R52" s="353"/>
      <c r="S52" s="353"/>
      <c r="T52" s="351"/>
    </row>
    <row r="53" spans="2:20" ht="21.75" customHeight="1">
      <c r="B53" s="1672"/>
      <c r="C53" s="343"/>
      <c r="D53" s="344">
        <f>+Tra!N164*1000</f>
        <v>350</v>
      </c>
      <c r="E53" s="1712" t="e">
        <f>+Tra!O164*1000</f>
        <v>#REF!</v>
      </c>
      <c r="F53" s="1713"/>
      <c r="G53" s="1714"/>
      <c r="H53" s="341"/>
      <c r="I53" s="341"/>
      <c r="J53" s="339"/>
      <c r="K53" s="1689"/>
      <c r="L53" s="1690"/>
      <c r="M53" s="1502"/>
      <c r="N53" s="1691"/>
      <c r="O53" s="1682"/>
      <c r="P53" s="352"/>
      <c r="Q53" s="353"/>
      <c r="R53" s="353"/>
      <c r="S53" s="353"/>
      <c r="T53" s="351"/>
    </row>
    <row r="54" spans="2:20" ht="6.75" customHeight="1">
      <c r="B54" s="1581"/>
      <c r="C54" s="335"/>
      <c r="D54" s="336"/>
      <c r="E54" s="337"/>
      <c r="F54" s="337"/>
      <c r="G54" s="337"/>
      <c r="H54" s="336"/>
      <c r="I54" s="336"/>
      <c r="J54" s="338"/>
      <c r="K54" s="1686"/>
      <c r="L54" s="1688"/>
      <c r="M54" s="1502"/>
      <c r="N54" s="1691"/>
      <c r="O54" s="1682"/>
      <c r="P54" s="352"/>
      <c r="Q54" s="353"/>
      <c r="R54" s="353"/>
      <c r="S54" s="353"/>
      <c r="T54" s="351"/>
    </row>
    <row r="55" spans="2:20" ht="12.75" customHeight="1">
      <c r="B55" s="1580" t="str">
        <f>+Tra!I165</f>
        <v>9b</v>
      </c>
      <c r="C55" s="345">
        <v>60</v>
      </c>
      <c r="D55" s="1705" t="e">
        <f>+Tra!N165*1000</f>
        <v>#REF!</v>
      </c>
      <c r="E55" s="1705"/>
      <c r="F55" s="1705"/>
      <c r="G55" s="1705"/>
      <c r="H55" s="1705"/>
      <c r="I55" s="1705"/>
      <c r="J55" s="346">
        <v>60</v>
      </c>
      <c r="K55" s="1685">
        <f>+Tra!J165</f>
        <v>10</v>
      </c>
      <c r="L55" s="1687" t="str">
        <f>+IF(K55&gt;=12,"AIII","AI")</f>
        <v>AI</v>
      </c>
      <c r="M55" s="1502" t="e">
        <f>+D55+J55*2</f>
        <v>#REF!</v>
      </c>
      <c r="N55" s="1691" t="e">
        <f>+Tra!L165</f>
        <v>#REF!</v>
      </c>
      <c r="O55" s="1682" t="e">
        <f>+N55*M55/1000</f>
        <v>#REF!</v>
      </c>
      <c r="P55" s="352"/>
      <c r="Q55" s="353"/>
      <c r="R55" s="353"/>
      <c r="S55" s="353"/>
      <c r="T55" s="351"/>
    </row>
    <row r="56" spans="2:20" ht="13.5" customHeight="1">
      <c r="B56" s="1581"/>
      <c r="C56" s="335"/>
      <c r="D56" s="1706"/>
      <c r="E56" s="1706"/>
      <c r="F56" s="1706"/>
      <c r="G56" s="1706"/>
      <c r="H56" s="1706"/>
      <c r="I56" s="1706"/>
      <c r="J56" s="338"/>
      <c r="K56" s="1686"/>
      <c r="L56" s="1688"/>
      <c r="M56" s="1502"/>
      <c r="N56" s="1691"/>
      <c r="O56" s="1682"/>
      <c r="P56" s="352"/>
      <c r="Q56" s="353"/>
      <c r="R56" s="353"/>
      <c r="S56" s="353"/>
      <c r="T56" s="351"/>
    </row>
    <row r="57" spans="2:20" ht="6" customHeight="1">
      <c r="B57" s="1580">
        <f>+Tra!I166</f>
        <v>10</v>
      </c>
      <c r="C57" s="330"/>
      <c r="D57" s="331"/>
      <c r="E57" s="332"/>
      <c r="F57" s="332"/>
      <c r="G57" s="332"/>
      <c r="H57" s="331"/>
      <c r="I57" s="331"/>
      <c r="J57" s="333"/>
      <c r="K57" s="1685">
        <f>+Tra!J166</f>
        <v>10</v>
      </c>
      <c r="L57" s="1687" t="str">
        <f>+IF(K57&gt;=12,"AIII","AI")</f>
        <v>AI</v>
      </c>
      <c r="M57" s="1502" t="e">
        <f>+F59*4+G58*2</f>
        <v>#REF!</v>
      </c>
      <c r="N57" s="1679" t="e">
        <f>+Tra!L166</f>
        <v>#REF!</v>
      </c>
      <c r="O57" s="1682" t="e">
        <f>+N57*M57/1000</f>
        <v>#REF!</v>
      </c>
      <c r="P57" s="352"/>
      <c r="Q57" s="353"/>
      <c r="R57" s="353"/>
      <c r="S57" s="353"/>
      <c r="T57" s="351"/>
    </row>
    <row r="58" spans="2:20" ht="11.25" customHeight="1">
      <c r="B58" s="1672"/>
      <c r="C58" s="340"/>
      <c r="D58" s="341"/>
      <c r="E58" s="342"/>
      <c r="F58" s="342"/>
      <c r="G58" s="347">
        <v>60</v>
      </c>
      <c r="H58" s="341"/>
      <c r="I58" s="341"/>
      <c r="J58" s="339"/>
      <c r="K58" s="1689"/>
      <c r="L58" s="1690"/>
      <c r="M58" s="1502"/>
      <c r="N58" s="1680"/>
      <c r="O58" s="1682"/>
      <c r="P58" s="352"/>
      <c r="Q58" s="353"/>
      <c r="R58" s="353"/>
      <c r="S58" s="353"/>
      <c r="T58" s="351"/>
    </row>
    <row r="59" spans="2:20" ht="25.5" customHeight="1">
      <c r="B59" s="1672"/>
      <c r="C59" s="340"/>
      <c r="D59" s="341"/>
      <c r="E59" s="348" t="e">
        <f>+F59</f>
        <v>#REF!</v>
      </c>
      <c r="F59" s="349" t="e">
        <f>+Tra!N166*1000</f>
        <v>#REF!</v>
      </c>
      <c r="G59" s="342"/>
      <c r="H59" s="341"/>
      <c r="I59" s="341"/>
      <c r="J59" s="339"/>
      <c r="K59" s="1689"/>
      <c r="L59" s="1690"/>
      <c r="M59" s="1502"/>
      <c r="N59" s="1680"/>
      <c r="O59" s="1682"/>
      <c r="P59" s="352"/>
      <c r="Q59" s="353"/>
      <c r="R59" s="353"/>
      <c r="S59" s="353"/>
      <c r="T59" s="351"/>
    </row>
    <row r="60" spans="2:20" ht="6" customHeight="1">
      <c r="B60" s="1581"/>
      <c r="C60" s="335"/>
      <c r="D60" s="336"/>
      <c r="E60" s="337"/>
      <c r="F60" s="337"/>
      <c r="G60" s="337"/>
      <c r="H60" s="336"/>
      <c r="I60" s="336"/>
      <c r="J60" s="338"/>
      <c r="K60" s="1686"/>
      <c r="L60" s="1688"/>
      <c r="M60" s="1502"/>
      <c r="N60" s="1681"/>
      <c r="O60" s="1682"/>
      <c r="P60" s="352"/>
      <c r="Q60" s="353"/>
      <c r="R60" s="353"/>
      <c r="S60" s="353"/>
      <c r="T60" s="351"/>
    </row>
    <row r="61" spans="2:20" ht="6" customHeight="1">
      <c r="B61" s="1580">
        <f>+Tra!I167</f>
        <v>11</v>
      </c>
      <c r="C61" s="330"/>
      <c r="D61" s="331"/>
      <c r="E61" s="332"/>
      <c r="F61" s="332"/>
      <c r="G61" s="332"/>
      <c r="H61" s="331"/>
      <c r="I61" s="331"/>
      <c r="J61" s="333"/>
      <c r="K61" s="1685">
        <f>+Tra!J167</f>
        <v>10</v>
      </c>
      <c r="L61" s="1687" t="str">
        <f>+IF(K61&gt;=12,"AIII","AI")</f>
        <v>AI</v>
      </c>
      <c r="M61" s="1502">
        <f>+F63*4+G62*2</f>
        <v>3720</v>
      </c>
      <c r="N61" s="1679" t="e">
        <f>+Tra!L167</f>
        <v>#REF!</v>
      </c>
      <c r="O61" s="1682" t="e">
        <f>+N61*M61/1000</f>
        <v>#REF!</v>
      </c>
      <c r="P61" s="352"/>
      <c r="Q61" s="353"/>
      <c r="R61" s="353"/>
      <c r="S61" s="353"/>
      <c r="T61" s="351"/>
    </row>
    <row r="62" spans="2:20" ht="11.25" customHeight="1">
      <c r="B62" s="1672"/>
      <c r="C62" s="340"/>
      <c r="D62" s="341"/>
      <c r="E62" s="342"/>
      <c r="F62" s="342"/>
      <c r="G62" s="347">
        <v>60</v>
      </c>
      <c r="H62" s="341"/>
      <c r="I62" s="341"/>
      <c r="J62" s="339"/>
      <c r="K62" s="1689"/>
      <c r="L62" s="1690"/>
      <c r="M62" s="1502"/>
      <c r="N62" s="1680"/>
      <c r="O62" s="1682"/>
      <c r="P62" s="352"/>
      <c r="Q62" s="353"/>
      <c r="R62" s="353"/>
      <c r="S62" s="353"/>
      <c r="T62" s="351"/>
    </row>
    <row r="63" spans="2:20" ht="25.5" customHeight="1">
      <c r="B63" s="1672"/>
      <c r="C63" s="340"/>
      <c r="D63" s="341"/>
      <c r="E63" s="348">
        <f>+F63</f>
        <v>900</v>
      </c>
      <c r="F63" s="349">
        <f>+Tra!N167*1000</f>
        <v>900</v>
      </c>
      <c r="G63" s="342"/>
      <c r="H63" s="341"/>
      <c r="I63" s="341"/>
      <c r="J63" s="339"/>
      <c r="K63" s="1689"/>
      <c r="L63" s="1690"/>
      <c r="M63" s="1502"/>
      <c r="N63" s="1680"/>
      <c r="O63" s="1682"/>
      <c r="P63" s="352"/>
      <c r="Q63" s="353"/>
      <c r="R63" s="353"/>
      <c r="S63" s="353"/>
      <c r="T63" s="351"/>
    </row>
    <row r="64" spans="2:20" ht="6" customHeight="1">
      <c r="B64" s="1581"/>
      <c r="C64" s="335"/>
      <c r="D64" s="336"/>
      <c r="E64" s="337"/>
      <c r="F64" s="337"/>
      <c r="G64" s="337"/>
      <c r="H64" s="336"/>
      <c r="I64" s="336"/>
      <c r="J64" s="338"/>
      <c r="K64" s="1686"/>
      <c r="L64" s="1688"/>
      <c r="M64" s="1502"/>
      <c r="N64" s="1681"/>
      <c r="O64" s="1682"/>
      <c r="P64" s="352"/>
      <c r="Q64" s="353"/>
      <c r="R64" s="353"/>
      <c r="S64" s="353"/>
      <c r="T64" s="351"/>
    </row>
    <row r="65" spans="2:20" ht="12.75" customHeight="1">
      <c r="B65" s="1580">
        <f>+Tra!I168</f>
        <v>12</v>
      </c>
      <c r="C65" s="345">
        <v>60</v>
      </c>
      <c r="D65" s="1683" t="e">
        <f>+Tra!N168*1000</f>
        <v>#REF!</v>
      </c>
      <c r="E65" s="1683"/>
      <c r="F65" s="1683"/>
      <c r="G65" s="1683"/>
      <c r="H65" s="1683"/>
      <c r="I65" s="1683"/>
      <c r="J65" s="346">
        <v>60</v>
      </c>
      <c r="K65" s="1685">
        <f>+Tra!J168</f>
        <v>10</v>
      </c>
      <c r="L65" s="1687" t="str">
        <f>+IF(K65&gt;=12,"AIII","AI")</f>
        <v>AI</v>
      </c>
      <c r="M65" s="1502" t="e">
        <f>+D65+J65*2</f>
        <v>#REF!</v>
      </c>
      <c r="N65" s="1691" t="e">
        <f>+Tra!L168</f>
        <v>#REF!</v>
      </c>
      <c r="O65" s="1682" t="e">
        <f>+N65*M65/1000</f>
        <v>#REF!</v>
      </c>
      <c r="P65" s="352"/>
      <c r="Q65" s="353"/>
      <c r="R65" s="353"/>
      <c r="S65" s="353"/>
      <c r="T65" s="351"/>
    </row>
    <row r="66" spans="2:20" ht="13.5" customHeight="1">
      <c r="B66" s="1581"/>
      <c r="C66" s="335"/>
      <c r="D66" s="1684"/>
      <c r="E66" s="1684"/>
      <c r="F66" s="1684"/>
      <c r="G66" s="1684"/>
      <c r="H66" s="1684"/>
      <c r="I66" s="1684"/>
      <c r="J66" s="338"/>
      <c r="K66" s="1686"/>
      <c r="L66" s="1688"/>
      <c r="M66" s="1502"/>
      <c r="N66" s="1691"/>
      <c r="O66" s="1682"/>
      <c r="P66" s="354"/>
      <c r="Q66" s="355"/>
      <c r="R66" s="355"/>
      <c r="S66" s="355"/>
      <c r="T66" s="356"/>
    </row>
    <row r="70" spans="2:20" ht="19.5" customHeight="1">
      <c r="B70" s="1502">
        <f>+Tra!I167</f>
        <v>11</v>
      </c>
      <c r="C70" s="330"/>
      <c r="D70" s="331"/>
      <c r="E70" s="1674">
        <f>+Tra!O167*1000</f>
        <v>0</v>
      </c>
      <c r="F70" s="1674"/>
      <c r="G70" s="332"/>
      <c r="H70" s="331"/>
      <c r="I70" s="331"/>
      <c r="J70" s="333"/>
      <c r="K70" s="1666">
        <f>+Tra!J167</f>
        <v>10</v>
      </c>
      <c r="L70" s="1669" t="str">
        <f>+IF(K70&gt;=12,"AIII","AI")</f>
        <v>AI</v>
      </c>
      <c r="M70" s="1580">
        <f>+E71*2+E70*2+H71*2</f>
        <v>1920</v>
      </c>
      <c r="N70" s="1679" t="e">
        <f>+Tra!L167</f>
        <v>#REF!</v>
      </c>
      <c r="O70" s="1677" t="e">
        <f>+N70*M70/1000</f>
        <v>#REF!</v>
      </c>
    </row>
    <row r="71" spans="2:20" ht="12.75" customHeight="1">
      <c r="B71" s="1502"/>
      <c r="C71" s="340"/>
      <c r="D71" s="341"/>
      <c r="E71" s="1673">
        <f>+Tra!N167*1000</f>
        <v>900</v>
      </c>
      <c r="F71" s="342"/>
      <c r="G71" s="342"/>
      <c r="H71" s="1675">
        <v>60</v>
      </c>
      <c r="I71" s="1675"/>
      <c r="J71" s="339"/>
      <c r="K71" s="1667"/>
      <c r="L71" s="1670"/>
      <c r="M71" s="1672"/>
      <c r="N71" s="1680"/>
      <c r="O71" s="1692"/>
    </row>
    <row r="72" spans="2:20" ht="12.75" customHeight="1">
      <c r="B72" s="1502"/>
      <c r="C72" s="340"/>
      <c r="D72" s="341"/>
      <c r="E72" s="1673"/>
      <c r="F72" s="342"/>
      <c r="G72" s="342"/>
      <c r="H72" s="341"/>
      <c r="I72" s="341"/>
      <c r="J72" s="339"/>
      <c r="K72" s="1667"/>
      <c r="L72" s="1670"/>
      <c r="M72" s="1672"/>
      <c r="N72" s="1680"/>
      <c r="O72" s="1692"/>
    </row>
    <row r="73" spans="2:20" ht="12.75" customHeight="1">
      <c r="B73" s="1502"/>
      <c r="C73" s="340"/>
      <c r="D73" s="341"/>
      <c r="E73" s="342"/>
      <c r="F73" s="342"/>
      <c r="G73" s="342"/>
      <c r="H73" s="341"/>
      <c r="I73" s="341"/>
      <c r="J73" s="339"/>
      <c r="K73" s="1667"/>
      <c r="L73" s="1670"/>
      <c r="M73" s="1672"/>
      <c r="N73" s="1680"/>
      <c r="O73" s="1692"/>
    </row>
    <row r="74" spans="2:20" ht="5.25" customHeight="1">
      <c r="B74" s="1502"/>
      <c r="C74" s="335"/>
      <c r="D74" s="336"/>
      <c r="E74" s="337"/>
      <c r="F74" s="337"/>
      <c r="G74" s="337"/>
      <c r="H74" s="336"/>
      <c r="I74" s="336"/>
      <c r="J74" s="338"/>
      <c r="K74" s="1668"/>
      <c r="L74" s="1671"/>
      <c r="M74" s="1581"/>
      <c r="N74" s="1681"/>
      <c r="O74" s="1678"/>
    </row>
  </sheetData>
  <mergeCells count="223">
    <mergeCell ref="O40:O41"/>
    <mergeCell ref="O51:O54"/>
    <mergeCell ref="M42:M43"/>
    <mergeCell ref="N42:N43"/>
    <mergeCell ref="O42:O43"/>
    <mergeCell ref="O44:O46"/>
    <mergeCell ref="O47:O50"/>
    <mergeCell ref="B51:B54"/>
    <mergeCell ref="K51:K54"/>
    <mergeCell ref="L51:L54"/>
    <mergeCell ref="M51:M54"/>
    <mergeCell ref="E53:G53"/>
    <mergeCell ref="N51:N54"/>
    <mergeCell ref="B47:B50"/>
    <mergeCell ref="K47:K50"/>
    <mergeCell ref="L47:L50"/>
    <mergeCell ref="E49:G49"/>
    <mergeCell ref="M40:M41"/>
    <mergeCell ref="N40:N41"/>
    <mergeCell ref="N47:N50"/>
    <mergeCell ref="M47:M50"/>
    <mergeCell ref="N44:N46"/>
    <mergeCell ref="M44:M46"/>
    <mergeCell ref="B40:B41"/>
    <mergeCell ref="D40:I40"/>
    <mergeCell ref="K40:K41"/>
    <mergeCell ref="L40:L41"/>
    <mergeCell ref="D45:I45"/>
    <mergeCell ref="B44:B46"/>
    <mergeCell ref="L44:L46"/>
    <mergeCell ref="K44:K46"/>
    <mergeCell ref="B42:B43"/>
    <mergeCell ref="D42:I42"/>
    <mergeCell ref="K42:K43"/>
    <mergeCell ref="L42:L43"/>
    <mergeCell ref="M38:M39"/>
    <mergeCell ref="N38:N39"/>
    <mergeCell ref="O38:O39"/>
    <mergeCell ref="B36:B37"/>
    <mergeCell ref="D36:I36"/>
    <mergeCell ref="K36:K37"/>
    <mergeCell ref="L36:L37"/>
    <mergeCell ref="M36:M37"/>
    <mergeCell ref="N36:N37"/>
    <mergeCell ref="O36:O37"/>
    <mergeCell ref="B38:B39"/>
    <mergeCell ref="D38:I38"/>
    <mergeCell ref="K38:K39"/>
    <mergeCell ref="L38:L39"/>
    <mergeCell ref="O32:O33"/>
    <mergeCell ref="B34:B35"/>
    <mergeCell ref="D34:I34"/>
    <mergeCell ref="K34:K35"/>
    <mergeCell ref="L34:L35"/>
    <mergeCell ref="M34:M35"/>
    <mergeCell ref="N34:N35"/>
    <mergeCell ref="O34:O35"/>
    <mergeCell ref="B32:B33"/>
    <mergeCell ref="D32:I32"/>
    <mergeCell ref="K32:K33"/>
    <mergeCell ref="L32:L33"/>
    <mergeCell ref="M32:M33"/>
    <mergeCell ref="N32:N33"/>
    <mergeCell ref="L26:L27"/>
    <mergeCell ref="N28:N29"/>
    <mergeCell ref="M26:M27"/>
    <mergeCell ref="M30:M31"/>
    <mergeCell ref="M28:M29"/>
    <mergeCell ref="O28:O29"/>
    <mergeCell ref="N24:N25"/>
    <mergeCell ref="K22:K23"/>
    <mergeCell ref="M22:M23"/>
    <mergeCell ref="N30:N31"/>
    <mergeCell ref="O30:O31"/>
    <mergeCell ref="B28:B29"/>
    <mergeCell ref="D28:I28"/>
    <mergeCell ref="K28:K29"/>
    <mergeCell ref="L28:L29"/>
    <mergeCell ref="B30:B31"/>
    <mergeCell ref="D30:I30"/>
    <mergeCell ref="K30:K31"/>
    <mergeCell ref="L30:L31"/>
    <mergeCell ref="O14:O15"/>
    <mergeCell ref="K14:K15"/>
    <mergeCell ref="K16:K17"/>
    <mergeCell ref="B26:B27"/>
    <mergeCell ref="D26:I26"/>
    <mergeCell ref="B24:B25"/>
    <mergeCell ref="D24:I24"/>
    <mergeCell ref="D22:I22"/>
    <mergeCell ref="B22:B23"/>
    <mergeCell ref="N22:N23"/>
    <mergeCell ref="K24:K25"/>
    <mergeCell ref="L24:L25"/>
    <mergeCell ref="M24:M25"/>
    <mergeCell ref="K18:K19"/>
    <mergeCell ref="M18:M19"/>
    <mergeCell ref="K26:K27"/>
    <mergeCell ref="L12:L13"/>
    <mergeCell ref="O20:O21"/>
    <mergeCell ref="N16:N17"/>
    <mergeCell ref="O16:O17"/>
    <mergeCell ref="N20:N21"/>
    <mergeCell ref="L18:L19"/>
    <mergeCell ref="M14:M15"/>
    <mergeCell ref="L14:L15"/>
    <mergeCell ref="M16:M17"/>
    <mergeCell ref="L16:L17"/>
    <mergeCell ref="N18:N19"/>
    <mergeCell ref="L55:L56"/>
    <mergeCell ref="B3:B4"/>
    <mergeCell ref="C3:J4"/>
    <mergeCell ref="D6:I6"/>
    <mergeCell ref="D8:I8"/>
    <mergeCell ref="M8:M9"/>
    <mergeCell ref="K5:K7"/>
    <mergeCell ref="M5:M7"/>
    <mergeCell ref="B10:B11"/>
    <mergeCell ref="D10:I10"/>
    <mergeCell ref="B5:B7"/>
    <mergeCell ref="B8:B9"/>
    <mergeCell ref="K8:K9"/>
    <mergeCell ref="B12:B13"/>
    <mergeCell ref="D12:I12"/>
    <mergeCell ref="K12:K13"/>
    <mergeCell ref="B20:B21"/>
    <mergeCell ref="D20:I20"/>
    <mergeCell ref="B14:B15"/>
    <mergeCell ref="D14:I14"/>
    <mergeCell ref="D18:I18"/>
    <mergeCell ref="B18:B19"/>
    <mergeCell ref="B16:B17"/>
    <mergeCell ref="D16:I16"/>
    <mergeCell ref="B57:B60"/>
    <mergeCell ref="K57:K60"/>
    <mergeCell ref="L57:L60"/>
    <mergeCell ref="D55:I56"/>
    <mergeCell ref="K55:K56"/>
    <mergeCell ref="M55:M56"/>
    <mergeCell ref="N10:N11"/>
    <mergeCell ref="O10:O11"/>
    <mergeCell ref="O24:O25"/>
    <mergeCell ref="N26:N27"/>
    <mergeCell ref="O26:O27"/>
    <mergeCell ref="O22:O23"/>
    <mergeCell ref="O18:O19"/>
    <mergeCell ref="N12:N13"/>
    <mergeCell ref="O12:O13"/>
    <mergeCell ref="N14:N15"/>
    <mergeCell ref="L20:L21"/>
    <mergeCell ref="L22:L23"/>
    <mergeCell ref="K20:K21"/>
    <mergeCell ref="M20:M21"/>
    <mergeCell ref="K10:K11"/>
    <mergeCell ref="M10:M11"/>
    <mergeCell ref="M12:M13"/>
    <mergeCell ref="L10:L11"/>
    <mergeCell ref="B2:T2"/>
    <mergeCell ref="P8:P9"/>
    <mergeCell ref="Q8:Q9"/>
    <mergeCell ref="R8:R9"/>
    <mergeCell ref="S8:S9"/>
    <mergeCell ref="K3:L4"/>
    <mergeCell ref="M3:M4"/>
    <mergeCell ref="N3:N4"/>
    <mergeCell ref="O3:O4"/>
    <mergeCell ref="T5:T7"/>
    <mergeCell ref="S5:S7"/>
    <mergeCell ref="P3:T3"/>
    <mergeCell ref="P4:Q4"/>
    <mergeCell ref="P5:P7"/>
    <mergeCell ref="Q5:Q7"/>
    <mergeCell ref="R5:R7"/>
    <mergeCell ref="L5:L7"/>
    <mergeCell ref="L8:L9"/>
    <mergeCell ref="S14:S15"/>
    <mergeCell ref="R16:R17"/>
    <mergeCell ref="S16:S17"/>
    <mergeCell ref="Q16:Q17"/>
    <mergeCell ref="O70:O74"/>
    <mergeCell ref="P16:P17"/>
    <mergeCell ref="N70:N74"/>
    <mergeCell ref="N61:N64"/>
    <mergeCell ref="N5:N7"/>
    <mergeCell ref="O5:O7"/>
    <mergeCell ref="N8:N9"/>
    <mergeCell ref="O8:O9"/>
    <mergeCell ref="P14:P15"/>
    <mergeCell ref="P10:P11"/>
    <mergeCell ref="Q10:Q11"/>
    <mergeCell ref="R10:R11"/>
    <mergeCell ref="S10:S11"/>
    <mergeCell ref="Q12:Q13"/>
    <mergeCell ref="R12:R13"/>
    <mergeCell ref="S12:S13"/>
    <mergeCell ref="N65:N66"/>
    <mergeCell ref="O65:O66"/>
    <mergeCell ref="P12:P13"/>
    <mergeCell ref="O61:O64"/>
    <mergeCell ref="B70:B74"/>
    <mergeCell ref="K70:K74"/>
    <mergeCell ref="L70:L74"/>
    <mergeCell ref="M70:M74"/>
    <mergeCell ref="E71:E72"/>
    <mergeCell ref="E70:F70"/>
    <mergeCell ref="H71:I71"/>
    <mergeCell ref="Q14:Q15"/>
    <mergeCell ref="R14:R15"/>
    <mergeCell ref="M65:M66"/>
    <mergeCell ref="N57:N60"/>
    <mergeCell ref="O57:O60"/>
    <mergeCell ref="O55:O56"/>
    <mergeCell ref="B65:B66"/>
    <mergeCell ref="D65:I66"/>
    <mergeCell ref="K65:K66"/>
    <mergeCell ref="L65:L66"/>
    <mergeCell ref="M61:M64"/>
    <mergeCell ref="M57:M60"/>
    <mergeCell ref="B61:B64"/>
    <mergeCell ref="K61:K64"/>
    <mergeCell ref="L61:L64"/>
    <mergeCell ref="N55:N56"/>
    <mergeCell ref="B55:B56"/>
  </mergeCells>
  <phoneticPr fontId="2" type="noConversion"/>
  <pageMargins left="0.75" right="0.75" top="0.71" bottom="0.62" header="0.5" footer="0.5"/>
  <pageSetup paperSize="9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ADA4-A97B-41D3-BB32-D8186DCE43BB}">
  <sheetPr codeName="Sheet28"/>
  <dimension ref="A1:AO380"/>
  <sheetViews>
    <sheetView view="pageBreakPreview" zoomScaleNormal="115" zoomScaleSheetLayoutView="100" workbookViewId="0">
      <selection activeCell="M8" sqref="M8"/>
    </sheetView>
  </sheetViews>
  <sheetFormatPr defaultColWidth="10.69921875" defaultRowHeight="19.899999999999999" customHeight="1" outlineLevelRow="1"/>
  <cols>
    <col min="1" max="1" width="12.09765625" style="401" customWidth="1"/>
    <col min="2" max="2" width="12.09765625" style="258" customWidth="1"/>
    <col min="3" max="3" width="11.3984375" style="258" bestFit="1" customWidth="1"/>
    <col min="4" max="4" width="10.69921875" style="258"/>
    <col min="5" max="5" width="12.3984375" style="258" bestFit="1" customWidth="1"/>
    <col min="6" max="6" width="12.296875" style="258" bestFit="1" customWidth="1"/>
    <col min="7" max="7" width="11.8984375" style="258" customWidth="1"/>
    <col min="8" max="8" width="12.59765625" style="258" customWidth="1"/>
    <col min="9" max="9" width="10.8984375" style="258" customWidth="1"/>
    <col min="10" max="10" width="9.296875" style="258" customWidth="1"/>
    <col min="11" max="11" width="10.69921875" style="258"/>
    <col min="12" max="12" width="14.796875" style="258" customWidth="1"/>
    <col min="13" max="13" width="20.09765625" style="258" customWidth="1"/>
    <col min="14" max="15" width="12.69921875" style="258" customWidth="1"/>
    <col min="16" max="16" width="10.69921875" style="258"/>
    <col min="17" max="17" width="11" style="258" bestFit="1" customWidth="1"/>
    <col min="18" max="18" width="10.69921875" style="258"/>
    <col min="19" max="19" width="12.3984375" style="258" customWidth="1"/>
    <col min="20" max="20" width="13.59765625" style="258" bestFit="1" customWidth="1"/>
    <col min="21" max="16384" width="10.69921875" style="258"/>
  </cols>
  <sheetData>
    <row r="1" spans="1:21" ht="19.899999999999999" customHeight="1">
      <c r="A1" s="1191"/>
      <c r="B1" s="1191"/>
      <c r="C1" s="1155"/>
      <c r="D1" s="1155"/>
      <c r="E1" s="1155"/>
      <c r="F1" s="1155"/>
      <c r="G1" s="1155"/>
      <c r="H1" s="1155"/>
      <c r="I1" s="408"/>
      <c r="J1" s="696"/>
      <c r="K1" s="696"/>
      <c r="L1" s="696"/>
      <c r="M1" s="1212"/>
      <c r="N1" s="689"/>
    </row>
    <row r="2" spans="1:21" ht="19.899999999999999" customHeight="1">
      <c r="A2" s="1252" t="s">
        <v>946</v>
      </c>
      <c r="B2" s="1155"/>
      <c r="C2" s="1155" t="s">
        <v>872</v>
      </c>
      <c r="F2" s="1155"/>
      <c r="G2" s="1155"/>
      <c r="H2" s="1155"/>
      <c r="I2" s="1155"/>
      <c r="J2" s="1250" t="s">
        <v>938</v>
      </c>
      <c r="K2" s="696" t="str">
        <f>LEFT('N411-20'!D58,3)</f>
        <v>B20</v>
      </c>
      <c r="L2" s="696"/>
      <c r="M2" s="1213"/>
      <c r="N2" s="1214"/>
      <c r="P2" s="763"/>
    </row>
    <row r="3" spans="1:21" ht="19.899999999999999" customHeight="1">
      <c r="A3" s="1253" t="s">
        <v>947</v>
      </c>
      <c r="B3" s="1155"/>
      <c r="C3" s="1253" t="s">
        <v>1119</v>
      </c>
      <c r="D3" s="1155" t="str">
        <f>'N411-20'!C3</f>
        <v>D411-25</v>
      </c>
      <c r="F3" s="1155"/>
      <c r="I3" s="1191"/>
      <c r="J3" s="1250" t="s">
        <v>939</v>
      </c>
      <c r="K3" s="696" t="s">
        <v>629</v>
      </c>
      <c r="L3" s="696"/>
      <c r="M3" s="1215"/>
      <c r="N3" s="766"/>
      <c r="O3" s="1216"/>
    </row>
    <row r="4" spans="1:21" ht="19.899999999999999" customHeight="1">
      <c r="A4" s="1253" t="s">
        <v>948</v>
      </c>
      <c r="B4" s="1155" t="str">
        <f>'N411-20'!J3</f>
        <v>MB 2.6-5x6</v>
      </c>
      <c r="D4" s="1155"/>
      <c r="E4" s="1155"/>
      <c r="F4" s="1155"/>
      <c r="G4" s="1155"/>
      <c r="H4" s="696"/>
      <c r="I4" s="1185"/>
      <c r="J4" s="701" t="s">
        <v>1120</v>
      </c>
      <c r="K4" s="1493" t="s">
        <v>1121</v>
      </c>
      <c r="L4" s="696"/>
      <c r="M4" s="1212"/>
      <c r="N4" s="1212"/>
    </row>
    <row r="5" spans="1:21" ht="19.899999999999999" hidden="1" customHeight="1">
      <c r="A5" s="665"/>
      <c r="B5" s="1246"/>
      <c r="C5" s="1247"/>
      <c r="D5" s="1247"/>
      <c r="E5" s="1246"/>
      <c r="F5" s="1246"/>
      <c r="G5" s="1248"/>
      <c r="H5" s="1249"/>
      <c r="I5" s="1185"/>
      <c r="L5" s="7"/>
      <c r="M5" s="1212"/>
    </row>
    <row r="6" spans="1:21" ht="19.899999999999999" customHeight="1">
      <c r="A6" s="704"/>
      <c r="B6" s="696"/>
      <c r="C6" s="696"/>
      <c r="D6" s="696"/>
      <c r="E6" s="696"/>
      <c r="F6" s="696"/>
      <c r="G6" s="696"/>
      <c r="H6" s="696"/>
      <c r="I6" s="696"/>
      <c r="J6" s="704" t="s">
        <v>200</v>
      </c>
      <c r="K6" s="696"/>
      <c r="L6" s="696"/>
      <c r="M6" s="1212"/>
      <c r="O6" s="1217"/>
      <c r="P6" s="1598"/>
      <c r="Q6" s="1598"/>
      <c r="R6" s="1598"/>
      <c r="S6" s="1598"/>
      <c r="T6" s="1598"/>
      <c r="U6" s="1598"/>
    </row>
    <row r="7" spans="1:21" ht="19.899999999999999" customHeight="1">
      <c r="A7" s="704"/>
      <c r="B7" s="696"/>
      <c r="C7" s="696"/>
      <c r="D7" s="696"/>
      <c r="E7" s="696"/>
      <c r="F7" s="696"/>
      <c r="G7" s="696"/>
      <c r="H7" s="696"/>
      <c r="I7" s="696"/>
      <c r="J7" s="701" t="s">
        <v>775</v>
      </c>
      <c r="K7" s="699">
        <f>'N411-20'!$K$7</f>
        <v>2.6</v>
      </c>
      <c r="L7" s="704" t="s">
        <v>0</v>
      </c>
      <c r="M7" s="1212"/>
      <c r="N7" s="110"/>
      <c r="O7" s="110"/>
      <c r="P7" s="370"/>
      <c r="Q7" s="370"/>
      <c r="R7" s="370"/>
      <c r="S7" s="370"/>
      <c r="T7" s="370"/>
      <c r="U7" s="370"/>
    </row>
    <row r="8" spans="1:21" ht="19.899999999999999" customHeight="1">
      <c r="A8" s="704"/>
      <c r="B8" s="696"/>
      <c r="C8" s="696"/>
      <c r="D8" s="696"/>
      <c r="E8" s="696"/>
      <c r="F8" s="696"/>
      <c r="G8" s="696"/>
      <c r="H8" s="696"/>
      <c r="I8" s="696"/>
      <c r="J8" s="701" t="s">
        <v>776</v>
      </c>
      <c r="K8" s="699">
        <f>+K7</f>
        <v>2.6</v>
      </c>
      <c r="L8" s="704" t="s">
        <v>0</v>
      </c>
      <c r="M8" s="1212"/>
      <c r="N8" s="1719"/>
      <c r="O8" s="6"/>
      <c r="P8" s="1218"/>
      <c r="Q8" s="1218"/>
      <c r="R8" s="1218"/>
      <c r="S8" s="1218"/>
      <c r="T8" s="1218"/>
      <c r="U8" s="1218"/>
    </row>
    <row r="9" spans="1:21" ht="19.899999999999999" customHeight="1">
      <c r="A9" s="704"/>
      <c r="B9" s="696"/>
      <c r="C9" s="696"/>
      <c r="D9" s="696"/>
      <c r="E9" s="696"/>
      <c r="F9" s="696"/>
      <c r="G9" s="696"/>
      <c r="H9" s="696"/>
      <c r="I9" s="696"/>
      <c r="J9" s="704" t="s">
        <v>537</v>
      </c>
      <c r="K9" s="699"/>
      <c r="L9" s="704"/>
      <c r="M9" s="1212"/>
      <c r="N9" s="1719"/>
      <c r="O9" s="6"/>
      <c r="P9" s="1218"/>
      <c r="Q9" s="1218"/>
      <c r="R9" s="1218"/>
      <c r="S9" s="1218"/>
      <c r="T9" s="1218"/>
      <c r="U9" s="1218"/>
    </row>
    <row r="10" spans="1:21" ht="19.899999999999999" customHeight="1">
      <c r="A10" s="704"/>
      <c r="B10" s="696"/>
      <c r="C10" s="696"/>
      <c r="D10" s="696"/>
      <c r="E10" s="696"/>
      <c r="F10" s="696"/>
      <c r="G10" s="696"/>
      <c r="H10" s="696"/>
      <c r="I10" s="696"/>
      <c r="J10" s="701" t="s">
        <v>111</v>
      </c>
      <c r="K10" s="699">
        <f>'N411-20'!$K$10</f>
        <v>5</v>
      </c>
      <c r="L10" s="704" t="s">
        <v>0</v>
      </c>
      <c r="M10" s="1219"/>
      <c r="N10" s="1719"/>
      <c r="O10" s="6"/>
      <c r="P10" s="1218"/>
      <c r="Q10" s="1218"/>
      <c r="R10" s="1218"/>
      <c r="S10" s="1218"/>
      <c r="T10" s="1218"/>
      <c r="U10" s="1218"/>
    </row>
    <row r="11" spans="1:21" ht="19.899999999999999" customHeight="1">
      <c r="A11" s="704"/>
      <c r="B11" s="696"/>
      <c r="C11" s="696"/>
      <c r="D11" s="696"/>
      <c r="E11" s="696"/>
      <c r="F11" s="696"/>
      <c r="G11" s="704">
        <v>0.1</v>
      </c>
      <c r="H11" s="696"/>
      <c r="I11" s="696"/>
      <c r="J11" s="701" t="s">
        <v>112</v>
      </c>
      <c r="K11" s="699">
        <f>'N411-20'!$K$11</f>
        <v>6</v>
      </c>
      <c r="L11" s="704" t="s">
        <v>0</v>
      </c>
      <c r="M11" s="1212"/>
      <c r="N11" s="1719"/>
      <c r="O11" s="6"/>
      <c r="P11" s="1218"/>
      <c r="Q11" s="1218"/>
      <c r="R11" s="1218"/>
      <c r="S11" s="1218"/>
      <c r="T11" s="1218"/>
      <c r="U11" s="1218"/>
    </row>
    <row r="12" spans="1:21" ht="19.899999999999999" customHeight="1">
      <c r="A12" s="704"/>
      <c r="B12" s="696"/>
      <c r="C12" s="696"/>
      <c r="D12" s="696"/>
      <c r="E12" s="696"/>
      <c r="F12" s="696"/>
      <c r="G12" s="696"/>
      <c r="H12" s="696"/>
      <c r="I12" s="696"/>
      <c r="J12" s="701"/>
      <c r="K12" s="699"/>
      <c r="L12" s="704"/>
      <c r="M12" s="1212"/>
      <c r="N12" s="1719"/>
      <c r="O12" s="6"/>
      <c r="P12" s="1218"/>
      <c r="Q12" s="1218"/>
      <c r="R12" s="1218"/>
      <c r="S12" s="1218"/>
      <c r="T12" s="1218"/>
      <c r="U12" s="1218"/>
    </row>
    <row r="13" spans="1:21" ht="19.899999999999999" customHeight="1">
      <c r="A13" s="704"/>
      <c r="B13" s="696"/>
      <c r="C13" s="696"/>
      <c r="D13" s="696"/>
      <c r="E13" s="696"/>
      <c r="F13" s="696"/>
      <c r="G13" s="696"/>
      <c r="H13" s="696"/>
      <c r="I13" s="696"/>
      <c r="J13" s="704" t="s">
        <v>201</v>
      </c>
      <c r="K13" s="696"/>
      <c r="L13" s="696"/>
      <c r="M13" s="1212"/>
      <c r="N13" s="1719"/>
      <c r="O13" s="6"/>
      <c r="P13" s="1218"/>
      <c r="Q13" s="1218"/>
      <c r="R13" s="1218"/>
      <c r="S13" s="1218"/>
      <c r="T13" s="1218"/>
      <c r="U13" s="1218"/>
    </row>
    <row r="14" spans="1:21" ht="19.899999999999999" customHeight="1">
      <c r="A14" s="704"/>
      <c r="B14" s="696"/>
      <c r="C14" s="696"/>
      <c r="D14" s="696"/>
      <c r="E14" s="696"/>
      <c r="F14" s="696"/>
      <c r="G14" s="696"/>
      <c r="H14" s="696"/>
      <c r="I14" s="696"/>
      <c r="J14" s="701" t="s">
        <v>823</v>
      </c>
      <c r="K14" s="699">
        <f>'N411-20'!$K$14</f>
        <v>2.5</v>
      </c>
      <c r="L14" s="704" t="s">
        <v>0</v>
      </c>
      <c r="M14" s="1212"/>
      <c r="N14"/>
      <c r="O14"/>
      <c r="P14"/>
      <c r="Q14"/>
      <c r="R14"/>
      <c r="S14"/>
      <c r="T14"/>
      <c r="U14"/>
    </row>
    <row r="15" spans="1:21" ht="19.899999999999999" customHeight="1">
      <c r="A15" s="704"/>
      <c r="B15" s="696"/>
      <c r="C15" s="696"/>
      <c r="D15" s="696"/>
      <c r="E15" s="696"/>
      <c r="F15" s="696"/>
      <c r="G15" s="696"/>
      <c r="H15" s="696"/>
      <c r="I15" s="696"/>
      <c r="J15" s="700" t="s">
        <v>548</v>
      </c>
      <c r="K15" s="696"/>
      <c r="L15" s="696"/>
      <c r="M15" s="1212"/>
      <c r="N15" s="670"/>
      <c r="O15"/>
      <c r="P15"/>
      <c r="Q15"/>
      <c r="R15"/>
      <c r="S15"/>
      <c r="T15"/>
      <c r="U15"/>
    </row>
    <row r="16" spans="1:21" ht="19.899999999999999" customHeight="1">
      <c r="A16" s="704"/>
      <c r="B16" s="696"/>
      <c r="C16" s="696"/>
      <c r="D16" s="696"/>
      <c r="E16" s="696"/>
      <c r="F16" s="696"/>
      <c r="G16" s="696"/>
      <c r="H16" s="696"/>
      <c r="I16" s="696"/>
      <c r="J16" s="701" t="s">
        <v>822</v>
      </c>
      <c r="K16" s="699">
        <f>'N411-20'!$K$16</f>
        <v>1</v>
      </c>
      <c r="L16" s="704" t="s">
        <v>0</v>
      </c>
      <c r="M16" s="1212"/>
      <c r="N16" s="21"/>
      <c r="O16" s="21"/>
      <c r="P16" s="21"/>
      <c r="Q16" s="21"/>
      <c r="R16" s="21"/>
      <c r="S16" s="21"/>
      <c r="T16" s="21"/>
      <c r="U16"/>
    </row>
    <row r="17" spans="1:21" ht="26.5" customHeight="1">
      <c r="A17" s="704"/>
      <c r="B17" s="696"/>
      <c r="C17" s="696"/>
      <c r="D17" s="696"/>
      <c r="E17" s="696"/>
      <c r="F17" s="696"/>
      <c r="G17" s="1251">
        <f>G26</f>
        <v>1.2</v>
      </c>
      <c r="H17" s="696"/>
      <c r="I17" s="696"/>
      <c r="J17" s="704" t="s">
        <v>538</v>
      </c>
      <c r="K17" s="699"/>
      <c r="L17" s="704"/>
      <c r="M17" s="1212"/>
      <c r="N17" s="21"/>
      <c r="O17" s="21"/>
      <c r="P17" s="21"/>
      <c r="Q17" s="21"/>
      <c r="R17" s="21"/>
      <c r="S17" s="21"/>
      <c r="T17" s="21"/>
      <c r="U17"/>
    </row>
    <row r="18" spans="1:21" ht="19.899999999999999" customHeight="1">
      <c r="A18" s="704"/>
      <c r="B18" s="696"/>
      <c r="C18" s="696"/>
      <c r="D18" s="696"/>
      <c r="E18" s="696"/>
      <c r="F18" s="696"/>
      <c r="G18" s="738"/>
      <c r="H18" s="696"/>
      <c r="J18" s="701" t="s">
        <v>937</v>
      </c>
      <c r="K18" s="699">
        <f>K14+K16</f>
        <v>3.5</v>
      </c>
      <c r="L18" s="704" t="s">
        <v>0</v>
      </c>
      <c r="M18" s="1212"/>
      <c r="N18" s="21"/>
      <c r="O18" s="21"/>
      <c r="P18" s="21"/>
      <c r="Q18" s="21"/>
      <c r="R18" s="21"/>
      <c r="S18" s="21"/>
      <c r="T18" s="21"/>
      <c r="U18"/>
    </row>
    <row r="19" spans="1:21" ht="19.899999999999999" customHeight="1">
      <c r="A19" s="704"/>
      <c r="B19" s="696"/>
      <c r="C19" s="696"/>
      <c r="D19" s="696"/>
      <c r="E19" s="696"/>
      <c r="F19" s="696"/>
      <c r="G19" s="696"/>
      <c r="H19" s="696"/>
      <c r="I19" s="696"/>
      <c r="J19" s="704" t="s">
        <v>540</v>
      </c>
      <c r="K19" s="699"/>
      <c r="L19" s="704"/>
      <c r="M19" s="1212"/>
      <c r="N19"/>
      <c r="O19"/>
      <c r="P19"/>
      <c r="Q19"/>
      <c r="R19"/>
      <c r="S19"/>
      <c r="T19"/>
      <c r="U19"/>
    </row>
    <row r="20" spans="1:21" ht="19.899999999999999" customHeight="1">
      <c r="A20" s="704"/>
      <c r="B20" s="696"/>
      <c r="C20" s="696"/>
      <c r="D20" s="696"/>
      <c r="E20" s="696"/>
      <c r="F20" s="696"/>
      <c r="H20" s="696"/>
      <c r="I20" s="696"/>
      <c r="J20" s="701" t="s">
        <v>892</v>
      </c>
      <c r="K20" s="699">
        <f>'N411-20'!$K$20</f>
        <v>0.5</v>
      </c>
      <c r="L20" s="704" t="s">
        <v>0</v>
      </c>
      <c r="M20" s="704"/>
      <c r="N20" s="699"/>
      <c r="O20" s="704"/>
      <c r="P20"/>
      <c r="Q20"/>
      <c r="R20"/>
      <c r="S20"/>
      <c r="T20"/>
      <c r="U20"/>
    </row>
    <row r="21" spans="1:21" ht="19.899999999999999" customHeight="1">
      <c r="A21" s="704"/>
      <c r="B21" s="696"/>
      <c r="C21" s="696"/>
      <c r="D21" s="696"/>
      <c r="E21" s="696"/>
      <c r="F21" s="696"/>
      <c r="G21" s="738"/>
      <c r="H21" s="696"/>
      <c r="I21" s="696"/>
      <c r="J21" s="701" t="s">
        <v>893</v>
      </c>
      <c r="K21" s="699">
        <f>'N411-20'!$K$21</f>
        <v>0.3</v>
      </c>
      <c r="L21" s="704" t="s">
        <v>0</v>
      </c>
      <c r="M21" s="701"/>
      <c r="N21" s="699"/>
      <c r="O21" s="704"/>
      <c r="P21"/>
      <c r="Q21"/>
      <c r="R21"/>
      <c r="S21"/>
      <c r="T21"/>
      <c r="U21"/>
    </row>
    <row r="22" spans="1:21" ht="31" customHeight="1">
      <c r="A22" s="704"/>
      <c r="B22" s="696"/>
      <c r="C22" s="696"/>
      <c r="D22" s="696"/>
      <c r="E22" s="696"/>
      <c r="F22" s="696"/>
      <c r="G22" s="1251">
        <f>K8</f>
        <v>2.6</v>
      </c>
      <c r="H22" s="696"/>
      <c r="I22" s="696"/>
      <c r="J22" s="704" t="s">
        <v>541</v>
      </c>
      <c r="K22" s="699"/>
      <c r="L22" s="704"/>
      <c r="M22" s="701"/>
      <c r="N22" s="699"/>
      <c r="O22" s="704"/>
      <c r="P22" s="257"/>
      <c r="R22" s="1220"/>
      <c r="S22" s="1220"/>
    </row>
    <row r="23" spans="1:21" ht="19.899999999999999" customHeight="1">
      <c r="A23" s="704"/>
      <c r="B23" s="696"/>
      <c r="C23" s="696"/>
      <c r="D23" s="696"/>
      <c r="E23" s="696"/>
      <c r="F23" s="696"/>
      <c r="G23" s="738"/>
      <c r="H23" s="696"/>
      <c r="I23" s="696"/>
      <c r="J23" s="701" t="s">
        <v>73</v>
      </c>
      <c r="K23" s="699">
        <f>'N411-20'!$K$23</f>
        <v>1</v>
      </c>
      <c r="L23" s="704" t="s">
        <v>0</v>
      </c>
      <c r="M23" s="701"/>
      <c r="N23" s="699"/>
      <c r="O23" s="704"/>
      <c r="P23" s="257"/>
      <c r="R23" s="1220"/>
      <c r="S23" s="1220"/>
    </row>
    <row r="24" spans="1:21" ht="19.899999999999999" customHeight="1">
      <c r="A24" s="704"/>
      <c r="B24" s="696"/>
      <c r="C24" s="696"/>
      <c r="D24" s="696"/>
      <c r="E24" s="696"/>
      <c r="F24" s="696"/>
      <c r="G24" s="696"/>
      <c r="H24" s="696"/>
      <c r="I24" s="696"/>
      <c r="J24" s="704"/>
      <c r="K24" s="696"/>
      <c r="L24" s="704"/>
      <c r="M24" s="1212"/>
      <c r="P24" s="257"/>
      <c r="R24" s="1220"/>
      <c r="S24" s="1220"/>
    </row>
    <row r="25" spans="1:21" ht="19.899999999999999" customHeight="1">
      <c r="A25" s="704"/>
      <c r="B25" s="696"/>
      <c r="C25" s="696"/>
      <c r="D25" s="696"/>
      <c r="E25" s="696"/>
      <c r="F25" s="696"/>
      <c r="G25" s="696"/>
      <c r="H25" s="696"/>
      <c r="I25" s="696"/>
      <c r="J25" s="704" t="s">
        <v>485</v>
      </c>
      <c r="K25" s="699"/>
      <c r="L25" s="704"/>
      <c r="M25" s="1212"/>
      <c r="P25" s="257"/>
      <c r="R25" s="1220"/>
      <c r="S25" s="1220"/>
    </row>
    <row r="26" spans="1:21" ht="30" customHeight="1">
      <c r="A26" s="704"/>
      <c r="B26" s="696"/>
      <c r="C26" s="696"/>
      <c r="D26" s="696"/>
      <c r="E26" s="696"/>
      <c r="F26" s="696"/>
      <c r="G26" s="1251">
        <f>(K10-K7)/2</f>
        <v>1.2</v>
      </c>
      <c r="H26" s="696"/>
      <c r="I26" s="696"/>
      <c r="J26" s="701" t="s">
        <v>942</v>
      </c>
      <c r="K26" s="699">
        <v>0.5</v>
      </c>
      <c r="L26" s="704" t="s">
        <v>0</v>
      </c>
      <c r="M26" s="1212"/>
      <c r="P26" s="257"/>
      <c r="R26" s="1220"/>
      <c r="S26" s="1220"/>
    </row>
    <row r="27" spans="1:21" ht="19.899999999999999" customHeight="1">
      <c r="A27" s="704"/>
      <c r="B27" s="696"/>
      <c r="C27" s="696"/>
      <c r="D27" s="696"/>
      <c r="E27" s="696"/>
      <c r="F27" s="696"/>
      <c r="G27" s="738"/>
      <c r="H27" s="696"/>
      <c r="I27" s="696"/>
      <c r="J27" s="701" t="s">
        <v>940</v>
      </c>
      <c r="K27" s="699">
        <f>IF(K26=0,0.5,IF(K14+K26+0.1&gt;3.1,1.25,1))</f>
        <v>1</v>
      </c>
      <c r="L27" s="704" t="s">
        <v>0</v>
      </c>
      <c r="M27" s="1212"/>
      <c r="P27" s="257"/>
      <c r="R27" s="1220"/>
      <c r="S27" s="1220"/>
    </row>
    <row r="28" spans="1:21" ht="19.899999999999999" customHeight="1">
      <c r="A28" s="704"/>
      <c r="B28" s="696"/>
      <c r="C28" s="708">
        <f>F28</f>
        <v>1.7</v>
      </c>
      <c r="D28" s="696"/>
      <c r="E28" s="702">
        <f>K7</f>
        <v>2.6</v>
      </c>
      <c r="F28" s="708">
        <f>(K11-K8)/2</f>
        <v>1.7</v>
      </c>
      <c r="G28" s="696"/>
      <c r="H28" s="696"/>
      <c r="I28" s="696"/>
      <c r="J28" s="701" t="s">
        <v>941</v>
      </c>
      <c r="K28" s="699">
        <f>IF(K26&gt;0.5,0.6,0.3)</f>
        <v>0.3</v>
      </c>
      <c r="L28" s="704" t="s">
        <v>0</v>
      </c>
      <c r="M28" s="1221"/>
      <c r="P28" s="257"/>
      <c r="R28" s="1220"/>
      <c r="S28" s="1220"/>
    </row>
    <row r="29" spans="1:21" ht="21" customHeight="1">
      <c r="A29" s="1209"/>
      <c r="B29" s="703"/>
      <c r="C29" s="703"/>
      <c r="D29" s="703"/>
      <c r="E29" s="703"/>
      <c r="F29" s="703"/>
      <c r="G29" s="703"/>
      <c r="H29" s="696"/>
      <c r="I29" s="700"/>
      <c r="J29" s="701" t="s">
        <v>943</v>
      </c>
      <c r="K29" s="701" t="s">
        <v>944</v>
      </c>
      <c r="L29" s="700" t="s">
        <v>945</v>
      </c>
      <c r="N29" s="370"/>
      <c r="O29" s="370"/>
      <c r="P29" s="257"/>
      <c r="R29" s="1220"/>
      <c r="S29" s="1220"/>
    </row>
    <row r="30" spans="1:21" ht="21" customHeight="1">
      <c r="A30" s="801" t="s">
        <v>949</v>
      </c>
      <c r="B30" s="703"/>
      <c r="C30" s="1254" t="s">
        <v>952</v>
      </c>
      <c r="D30" s="695" t="s">
        <v>953</v>
      </c>
      <c r="E30" s="695"/>
      <c r="F30" s="695"/>
      <c r="G30" s="695"/>
      <c r="H30" s="696"/>
      <c r="I30" s="696"/>
      <c r="J30" s="701" t="s">
        <v>1116</v>
      </c>
      <c r="K30" s="702"/>
      <c r="L30" s="704"/>
      <c r="M30" s="1212"/>
      <c r="P30" s="257"/>
      <c r="R30" s="1220"/>
      <c r="S30" s="1220"/>
    </row>
    <row r="31" spans="1:21" ht="21" customHeight="1">
      <c r="B31" s="1256" t="s">
        <v>950</v>
      </c>
      <c r="C31" s="1255">
        <f>'N411-20'!C98</f>
        <v>12</v>
      </c>
      <c r="D31" s="1255">
        <f>'N411-20'!E98*10</f>
        <v>200</v>
      </c>
      <c r="E31" s="699" t="s">
        <v>29</v>
      </c>
      <c r="F31" s="699"/>
      <c r="G31" s="699"/>
      <c r="H31" s="699"/>
      <c r="I31" s="696"/>
      <c r="J31" s="701" t="s">
        <v>1117</v>
      </c>
      <c r="K31" s="700">
        <f>'N411-20'!F94*1000</f>
        <v>50</v>
      </c>
      <c r="L31" s="699" t="s">
        <v>29</v>
      </c>
      <c r="M31" s="1212"/>
      <c r="N31" s="370"/>
      <c r="P31" s="257"/>
      <c r="R31" s="1220"/>
      <c r="S31" s="1220"/>
    </row>
    <row r="32" spans="1:21" ht="21" customHeight="1">
      <c r="B32" s="1256" t="s">
        <v>951</v>
      </c>
      <c r="C32" s="1255">
        <f>C31</f>
        <v>12</v>
      </c>
      <c r="D32" s="1255">
        <f>D31</f>
        <v>200</v>
      </c>
      <c r="E32" s="699" t="s">
        <v>29</v>
      </c>
      <c r="F32" s="699"/>
      <c r="G32" s="699"/>
      <c r="H32" s="699"/>
      <c r="I32" s="696"/>
      <c r="J32" s="701" t="s">
        <v>1118</v>
      </c>
      <c r="K32" s="709">
        <f>K31</f>
        <v>50</v>
      </c>
      <c r="L32" s="699" t="s">
        <v>29</v>
      </c>
      <c r="M32" s="1212"/>
      <c r="P32" s="257"/>
      <c r="R32" s="1220"/>
      <c r="S32" s="1220"/>
    </row>
    <row r="33" spans="1:19" ht="21" customHeight="1">
      <c r="A33" s="1210"/>
      <c r="B33" s="1210" t="s">
        <v>954</v>
      </c>
      <c r="C33" s="1255">
        <f>C32</f>
        <v>12</v>
      </c>
      <c r="D33" s="1255">
        <f>D32*3</f>
        <v>600</v>
      </c>
      <c r="E33" s="699" t="s">
        <v>29</v>
      </c>
      <c r="F33" s="699"/>
      <c r="G33" s="699"/>
      <c r="H33" s="699"/>
      <c r="I33" s="696"/>
      <c r="J33" s="696"/>
      <c r="K33" s="700"/>
      <c r="L33" s="701"/>
      <c r="M33" s="1212"/>
      <c r="P33"/>
      <c r="Q33"/>
      <c r="R33"/>
      <c r="S33"/>
    </row>
    <row r="34" spans="1:19" ht="21" customHeight="1">
      <c r="A34" s="801" t="s">
        <v>955</v>
      </c>
      <c r="B34" s="1210"/>
      <c r="C34" s="1254" t="s">
        <v>952</v>
      </c>
      <c r="D34" s="695" t="s">
        <v>957</v>
      </c>
      <c r="E34" s="699"/>
      <c r="F34" s="699"/>
      <c r="G34" s="699"/>
      <c r="H34" s="699"/>
      <c r="I34" s="696"/>
      <c r="J34" s="701"/>
      <c r="K34" s="706"/>
      <c r="L34" s="704"/>
      <c r="M34" s="1212"/>
      <c r="P34"/>
      <c r="Q34"/>
      <c r="R34"/>
      <c r="S34"/>
    </row>
    <row r="35" spans="1:19" ht="21" customHeight="1">
      <c r="A35" s="1210"/>
      <c r="B35" s="1210" t="s">
        <v>956</v>
      </c>
      <c r="C35" s="1255">
        <f>'N411-20'!C232</f>
        <v>20</v>
      </c>
      <c r="D35" s="1255">
        <f>'N411-20'!E232*2+('N411-20'!E232-2)*2</f>
        <v>36</v>
      </c>
      <c r="E35" s="699"/>
      <c r="F35" s="699"/>
      <c r="G35" s="699"/>
      <c r="H35" s="699"/>
      <c r="I35" s="696"/>
      <c r="J35" s="696"/>
      <c r="K35" s="700"/>
      <c r="L35" s="701"/>
      <c r="M35" s="1212"/>
      <c r="P35"/>
      <c r="Q35"/>
      <c r="R35"/>
      <c r="S35"/>
    </row>
    <row r="36" spans="1:19" ht="21" customHeight="1">
      <c r="A36" s="1210"/>
      <c r="B36" s="1210" t="s">
        <v>958</v>
      </c>
      <c r="C36" s="1255">
        <v>8</v>
      </c>
      <c r="D36" s="1255">
        <v>200</v>
      </c>
      <c r="E36" s="699" t="s">
        <v>29</v>
      </c>
      <c r="F36" s="699"/>
      <c r="G36" s="699"/>
      <c r="H36" s="699"/>
      <c r="I36" s="696"/>
      <c r="J36" s="701"/>
      <c r="K36" s="706"/>
      <c r="L36" s="704"/>
      <c r="M36" s="1212"/>
      <c r="P36"/>
      <c r="Q36"/>
      <c r="R36"/>
      <c r="S36"/>
    </row>
    <row r="37" spans="1:19" ht="19" customHeight="1">
      <c r="A37" s="1210"/>
      <c r="B37" s="1211" t="s">
        <v>959</v>
      </c>
      <c r="C37" s="1255">
        <f>C36</f>
        <v>8</v>
      </c>
      <c r="D37" s="1255">
        <f>D36*2</f>
        <v>400</v>
      </c>
      <c r="E37" s="699" t="s">
        <v>29</v>
      </c>
      <c r="F37" s="699"/>
      <c r="G37" s="699"/>
      <c r="H37" s="699"/>
      <c r="I37" s="696"/>
      <c r="M37" s="1212"/>
      <c r="P37"/>
      <c r="Q37"/>
      <c r="R37"/>
      <c r="S37"/>
    </row>
    <row r="38" spans="1:19" ht="19" customHeight="1">
      <c r="A38" s="704"/>
      <c r="B38" s="696" t="s">
        <v>1114</v>
      </c>
      <c r="C38" s="1255">
        <f>C36</f>
        <v>8</v>
      </c>
      <c r="D38" s="696">
        <f>D36/2</f>
        <v>100</v>
      </c>
      <c r="E38" s="699" t="s">
        <v>29</v>
      </c>
      <c r="F38" s="696" t="s">
        <v>1115</v>
      </c>
      <c r="G38" s="696"/>
      <c r="H38" s="696"/>
      <c r="I38" s="696"/>
      <c r="M38" s="1212"/>
      <c r="P38"/>
      <c r="Q38"/>
      <c r="R38"/>
      <c r="S38"/>
    </row>
    <row r="39" spans="1:19" ht="19" customHeight="1">
      <c r="A39" s="707"/>
      <c r="B39" s="696"/>
      <c r="C39" s="696"/>
      <c r="D39" s="696"/>
      <c r="E39" s="696"/>
      <c r="F39" s="696"/>
      <c r="G39" s="700"/>
      <c r="H39" s="700"/>
      <c r="I39" s="700"/>
      <c r="M39" s="1212"/>
      <c r="P39"/>
      <c r="Q39"/>
      <c r="R39"/>
      <c r="S39"/>
    </row>
    <row r="40" spans="1:19" ht="21" customHeight="1">
      <c r="A40" s="1210"/>
      <c r="B40" s="701"/>
      <c r="C40" s="702"/>
      <c r="D40" s="704"/>
      <c r="E40" s="696"/>
      <c r="F40" s="696"/>
      <c r="G40" s="696"/>
      <c r="H40" s="696"/>
      <c r="I40" s="696"/>
      <c r="M40" s="1212"/>
      <c r="P40"/>
      <c r="Q40"/>
      <c r="R40"/>
      <c r="S40"/>
    </row>
    <row r="41" spans="1:19" ht="21" customHeight="1">
      <c r="A41" s="1210"/>
      <c r="B41" s="701"/>
      <c r="C41" s="702"/>
      <c r="D41" s="704"/>
      <c r="E41" s="701"/>
      <c r="F41" s="699"/>
      <c r="G41" s="704"/>
      <c r="H41" s="696"/>
      <c r="I41" s="696"/>
      <c r="J41" s="704"/>
      <c r="K41" s="700"/>
      <c r="L41" s="700"/>
      <c r="M41" s="1212"/>
      <c r="P41"/>
      <c r="Q41"/>
      <c r="R41"/>
      <c r="S41"/>
    </row>
    <row r="42" spans="1:19" ht="21" customHeight="1">
      <c r="A42" s="1210"/>
      <c r="B42" s="701"/>
      <c r="C42" s="702"/>
      <c r="D42" s="704"/>
      <c r="E42" s="701"/>
      <c r="F42" s="699"/>
      <c r="G42" s="704"/>
      <c r="H42" s="696"/>
      <c r="I42" s="696"/>
      <c r="J42" s="701"/>
      <c r="K42" s="702"/>
      <c r="L42" s="704"/>
      <c r="M42" s="1212"/>
      <c r="P42"/>
      <c r="Q42"/>
      <c r="R42"/>
      <c r="S42"/>
    </row>
    <row r="43" spans="1:19" ht="21" customHeight="1">
      <c r="A43" s="704"/>
      <c r="B43" s="701"/>
      <c r="C43" s="702"/>
      <c r="D43" s="704"/>
      <c r="E43" s="701"/>
      <c r="F43" s="699"/>
      <c r="G43" s="704"/>
      <c r="H43" s="696"/>
      <c r="I43" s="696"/>
      <c r="J43" s="700"/>
      <c r="K43" s="700"/>
      <c r="L43" s="696"/>
      <c r="M43" s="1222"/>
      <c r="P43"/>
      <c r="Q43"/>
      <c r="R43"/>
      <c r="S43"/>
    </row>
    <row r="44" spans="1:19" ht="21" customHeight="1">
      <c r="A44" s="704"/>
      <c r="B44" s="701"/>
      <c r="C44" s="702"/>
      <c r="D44" s="704"/>
      <c r="E44" s="701"/>
      <c r="F44" s="699"/>
      <c r="G44" s="704"/>
      <c r="H44" s="696"/>
      <c r="I44" s="698"/>
      <c r="J44" s="701"/>
      <c r="K44" s="706"/>
      <c r="L44" s="704"/>
      <c r="M44" s="1597"/>
      <c r="N44" s="1597"/>
      <c r="O44" s="1597"/>
      <c r="P44" s="1597"/>
      <c r="Q44"/>
      <c r="R44"/>
      <c r="S44"/>
    </row>
    <row r="45" spans="1:19" ht="21" customHeight="1">
      <c r="A45" s="1210"/>
      <c r="B45" s="701"/>
      <c r="C45" s="702"/>
      <c r="D45" s="704"/>
      <c r="E45" s="696"/>
      <c r="F45" s="696"/>
      <c r="G45" s="704"/>
      <c r="H45" s="696"/>
      <c r="I45" s="696"/>
      <c r="J45" s="700"/>
      <c r="K45" s="700"/>
      <c r="L45" s="700"/>
      <c r="M45" s="1212"/>
      <c r="N45" s="370"/>
      <c r="Q45"/>
      <c r="R45"/>
      <c r="S45"/>
    </row>
    <row r="46" spans="1:19" ht="21" customHeight="1">
      <c r="A46" s="1210"/>
      <c r="B46" s="701"/>
      <c r="C46" s="702"/>
      <c r="D46" s="704"/>
      <c r="E46" s="701"/>
      <c r="F46" s="702"/>
      <c r="G46" s="704"/>
      <c r="H46" s="702"/>
      <c r="I46" s="696"/>
      <c r="J46" s="701"/>
      <c r="K46" s="702"/>
      <c r="L46" s="704"/>
      <c r="M46" s="1212"/>
      <c r="N46" s="370"/>
      <c r="O46" s="370"/>
      <c r="P46" s="370"/>
      <c r="Q46"/>
      <c r="R46"/>
      <c r="S46"/>
    </row>
    <row r="47" spans="1:19" ht="21" customHeight="1">
      <c r="A47" s="1210"/>
      <c r="B47" s="701"/>
      <c r="C47" s="702"/>
      <c r="D47" s="704"/>
      <c r="E47" s="701"/>
      <c r="F47" s="702"/>
      <c r="G47" s="704"/>
      <c r="H47" s="702"/>
      <c r="I47" s="696"/>
      <c r="J47" s="701"/>
      <c r="K47" s="702"/>
      <c r="L47" s="704"/>
      <c r="M47" s="1212"/>
      <c r="N47" s="370"/>
      <c r="O47" s="370"/>
      <c r="P47" s="370"/>
      <c r="Q47"/>
      <c r="R47"/>
      <c r="S47"/>
    </row>
    <row r="48" spans="1:19" ht="21" customHeight="1">
      <c r="A48" s="1210"/>
      <c r="B48" s="701"/>
      <c r="C48" s="702"/>
      <c r="D48" s="704"/>
      <c r="E48" s="696"/>
      <c r="F48" s="696"/>
      <c r="G48" s="704"/>
      <c r="H48" s="702"/>
      <c r="I48" s="1210"/>
      <c r="J48" s="1210"/>
      <c r="K48" s="702"/>
      <c r="L48" s="704"/>
      <c r="M48" s="1212"/>
      <c r="N48" s="370"/>
      <c r="O48" s="370"/>
      <c r="P48" s="370"/>
      <c r="Q48"/>
      <c r="R48"/>
      <c r="S48"/>
    </row>
    <row r="49" spans="1:22" ht="21" customHeight="1">
      <c r="A49" s="1210"/>
      <c r="B49" s="701"/>
      <c r="C49" s="702"/>
      <c r="D49" s="704"/>
      <c r="E49" s="701"/>
      <c r="F49" s="702"/>
      <c r="G49" s="704"/>
      <c r="H49" s="702"/>
      <c r="I49" s="1210"/>
      <c r="J49" s="1210"/>
      <c r="K49" s="702"/>
      <c r="L49" s="704"/>
      <c r="M49" s="1212"/>
      <c r="N49"/>
      <c r="O49"/>
      <c r="P49"/>
      <c r="Q49"/>
      <c r="R49"/>
      <c r="S49"/>
    </row>
    <row r="50" spans="1:22" ht="21" customHeight="1">
      <c r="A50" s="1210"/>
      <c r="B50" s="701"/>
      <c r="C50" s="702"/>
      <c r="D50" s="704"/>
      <c r="E50" s="701"/>
      <c r="F50" s="702"/>
      <c r="G50" s="704"/>
      <c r="H50" s="702"/>
      <c r="I50" s="1210"/>
      <c r="J50" s="1210"/>
      <c r="K50" s="702"/>
      <c r="L50" s="704"/>
      <c r="M50" s="1212"/>
      <c r="N50"/>
      <c r="O50"/>
      <c r="P50"/>
      <c r="Q50"/>
      <c r="R50"/>
      <c r="S50"/>
    </row>
    <row r="51" spans="1:22" ht="22.15" customHeight="1">
      <c r="A51" s="704"/>
      <c r="B51" s="696"/>
      <c r="C51" s="702"/>
      <c r="D51" s="696"/>
      <c r="E51" s="696"/>
      <c r="F51" s="702"/>
      <c r="G51" s="696"/>
      <c r="H51" s="696"/>
      <c r="I51" s="704"/>
      <c r="J51" s="696"/>
      <c r="K51" s="702"/>
      <c r="L51" s="696"/>
      <c r="M51" s="1212"/>
      <c r="N51"/>
      <c r="O51" s="696"/>
      <c r="Q51"/>
      <c r="R51"/>
      <c r="S51"/>
      <c r="V51" s="767"/>
    </row>
    <row r="52" spans="1:22" ht="22.15" customHeight="1">
      <c r="A52" s="701"/>
      <c r="B52" s="696"/>
      <c r="C52" s="702"/>
      <c r="D52" s="696"/>
      <c r="E52" s="696"/>
      <c r="F52" s="696"/>
      <c r="G52" s="696"/>
      <c r="H52" s="702"/>
      <c r="I52" s="696"/>
      <c r="J52" s="696"/>
      <c r="K52" s="702"/>
      <c r="L52" s="696"/>
      <c r="M52" s="1212"/>
      <c r="N52"/>
      <c r="O52"/>
      <c r="Q52"/>
      <c r="R52"/>
      <c r="S52"/>
      <c r="V52" s="768"/>
    </row>
    <row r="53" spans="1:22" ht="22.15" customHeight="1">
      <c r="A53" s="701"/>
      <c r="B53" s="708"/>
      <c r="C53" s="702"/>
      <c r="D53" s="704"/>
      <c r="E53" s="696"/>
      <c r="F53" s="702"/>
      <c r="G53" s="704"/>
      <c r="H53" s="708"/>
      <c r="I53" s="702"/>
      <c r="J53" s="704"/>
      <c r="K53" s="702"/>
      <c r="L53" s="696"/>
      <c r="M53" s="1212"/>
      <c r="N53"/>
      <c r="O53"/>
      <c r="Q53"/>
      <c r="R53"/>
      <c r="S53"/>
    </row>
    <row r="54" spans="1:22" ht="22.15" customHeight="1">
      <c r="A54" s="704"/>
      <c r="B54" s="708"/>
      <c r="C54" s="702"/>
      <c r="D54" s="704"/>
      <c r="E54" s="760"/>
      <c r="F54" s="699"/>
      <c r="G54" s="704"/>
      <c r="H54" s="708"/>
      <c r="I54" s="702"/>
      <c r="J54" s="704"/>
      <c r="K54" s="696"/>
      <c r="L54" s="696"/>
      <c r="M54" s="1212"/>
      <c r="N54"/>
      <c r="O54"/>
      <c r="Q54"/>
      <c r="R54"/>
      <c r="S54"/>
    </row>
    <row r="55" spans="1:22" ht="22.15" customHeight="1">
      <c r="A55" s="701"/>
      <c r="B55" s="702"/>
      <c r="C55" s="704"/>
      <c r="D55" s="696"/>
      <c r="E55" s="709"/>
      <c r="F55" s="704"/>
      <c r="H55" s="696"/>
      <c r="I55" s="704"/>
      <c r="J55" s="701"/>
      <c r="K55" s="702"/>
      <c r="L55" s="704"/>
      <c r="M55" s="1212"/>
      <c r="N55" s="670"/>
      <c r="O55"/>
      <c r="Q55"/>
      <c r="R55"/>
      <c r="S55"/>
    </row>
    <row r="56" spans="1:22" ht="22.15" customHeight="1">
      <c r="A56" s="704"/>
      <c r="B56" s="701"/>
      <c r="C56" s="710"/>
      <c r="D56" s="696"/>
      <c r="E56" s="696"/>
      <c r="F56" s="704"/>
      <c r="G56" s="696"/>
      <c r="H56" s="701"/>
      <c r="I56" s="710"/>
      <c r="J56" s="696"/>
      <c r="K56" s="696"/>
      <c r="L56" s="704"/>
      <c r="M56" s="1212"/>
      <c r="N56"/>
      <c r="O56"/>
      <c r="Q56"/>
      <c r="R56"/>
      <c r="S56"/>
    </row>
    <row r="57" spans="1:22" ht="19.899999999999999" customHeight="1">
      <c r="A57" s="695"/>
      <c r="B57" s="696"/>
      <c r="C57" s="696"/>
      <c r="D57" s="696"/>
      <c r="E57" s="696"/>
      <c r="F57" s="696"/>
      <c r="G57" s="696"/>
      <c r="H57" s="696"/>
      <c r="I57" s="700"/>
      <c r="J57" s="700"/>
      <c r="K57" s="700"/>
      <c r="L57" s="700"/>
      <c r="M57" s="1212"/>
    </row>
    <row r="58" spans="1:22" ht="21" customHeight="1">
      <c r="A58" s="704"/>
      <c r="B58" s="704"/>
      <c r="C58" s="696"/>
      <c r="D58" s="701"/>
      <c r="E58" s="704"/>
      <c r="F58" s="696"/>
      <c r="G58" s="696"/>
      <c r="H58" s="696"/>
      <c r="I58" s="701"/>
      <c r="J58" s="696"/>
      <c r="K58" s="696"/>
      <c r="L58" s="696"/>
      <c r="M58" s="670"/>
      <c r="N58"/>
      <c r="O58"/>
      <c r="P58"/>
      <c r="Q58"/>
    </row>
    <row r="59" spans="1:22" ht="21" customHeight="1">
      <c r="A59" s="704"/>
      <c r="B59" s="696"/>
      <c r="C59" s="701"/>
      <c r="D59" s="712"/>
      <c r="E59" s="696"/>
      <c r="F59" s="696"/>
      <c r="G59" s="696"/>
      <c r="H59" s="696"/>
      <c r="J59" s="701"/>
      <c r="K59" s="696"/>
      <c r="L59" s="696"/>
      <c r="M59" s="670"/>
      <c r="N59" s="671"/>
      <c r="O59" s="1223"/>
      <c r="P59"/>
      <c r="Q59"/>
    </row>
    <row r="60" spans="1:22" ht="21" customHeight="1">
      <c r="A60" s="704"/>
      <c r="B60" s="696"/>
      <c r="C60" s="701"/>
      <c r="D60" s="712"/>
      <c r="E60" s="702"/>
      <c r="F60" s="696"/>
      <c r="G60" s="696"/>
      <c r="H60" s="696"/>
      <c r="I60" s="696"/>
      <c r="J60" s="696"/>
      <c r="K60" s="696"/>
      <c r="L60" s="696"/>
      <c r="M60" s="670"/>
      <c r="N60"/>
      <c r="O60"/>
      <c r="P60"/>
      <c r="Q60"/>
    </row>
    <row r="61" spans="1:22" ht="21" customHeight="1">
      <c r="A61" s="704"/>
      <c r="B61" s="700"/>
      <c r="C61" s="700"/>
      <c r="D61" s="700"/>
      <c r="E61" s="696"/>
      <c r="F61" s="1575"/>
      <c r="G61" s="1586"/>
      <c r="H61" s="1575"/>
      <c r="I61" s="1586"/>
      <c r="J61" s="1575"/>
      <c r="K61" s="1586"/>
      <c r="L61" s="696"/>
      <c r="M61" s="1224"/>
      <c r="N61"/>
      <c r="O61"/>
      <c r="P61"/>
      <c r="Q61" s="1223"/>
    </row>
    <row r="62" spans="1:22" ht="21" customHeight="1">
      <c r="A62" s="704"/>
      <c r="B62" s="1586"/>
      <c r="C62" s="1586"/>
      <c r="D62" s="701"/>
      <c r="E62" s="696"/>
      <c r="F62" s="706"/>
      <c r="G62" s="704"/>
      <c r="H62" s="706"/>
      <c r="I62" s="704"/>
      <c r="J62" s="706"/>
      <c r="K62" s="704"/>
      <c r="L62" s="696"/>
      <c r="M62" s="670"/>
      <c r="N62"/>
      <c r="O62"/>
      <c r="P62"/>
      <c r="Q62"/>
    </row>
    <row r="63" spans="1:22" ht="21" customHeight="1">
      <c r="A63" s="704"/>
      <c r="B63" s="696"/>
      <c r="C63" s="696"/>
      <c r="D63" s="701"/>
      <c r="E63" s="696"/>
      <c r="F63" s="702"/>
      <c r="G63" s="704"/>
      <c r="H63" s="702"/>
      <c r="I63" s="704"/>
      <c r="J63" s="702"/>
      <c r="K63" s="704"/>
      <c r="L63" s="696"/>
      <c r="M63" s="670"/>
      <c r="N63"/>
      <c r="O63"/>
      <c r="P63"/>
      <c r="Q63"/>
    </row>
    <row r="64" spans="1:22" ht="21" customHeight="1">
      <c r="A64" s="704"/>
      <c r="B64" s="696"/>
      <c r="C64" s="696"/>
      <c r="D64" s="701"/>
      <c r="E64" s="696"/>
      <c r="F64" s="702"/>
      <c r="G64" s="704"/>
      <c r="H64" s="702"/>
      <c r="I64" s="704"/>
      <c r="J64" s="702"/>
      <c r="K64" s="704"/>
      <c r="L64" s="696"/>
      <c r="M64" s="670"/>
      <c r="N64"/>
      <c r="O64"/>
      <c r="P64"/>
      <c r="Q64"/>
    </row>
    <row r="65" spans="1:17" ht="21" customHeight="1">
      <c r="A65" s="704"/>
      <c r="B65" s="696"/>
      <c r="C65" s="696"/>
      <c r="D65" s="701"/>
      <c r="E65" s="696"/>
      <c r="F65" s="702"/>
      <c r="G65" s="704"/>
      <c r="H65" s="702"/>
      <c r="I65" s="704"/>
      <c r="J65" s="702"/>
      <c r="K65" s="704"/>
      <c r="L65" s="696"/>
      <c r="M65" s="670"/>
      <c r="N65"/>
      <c r="O65"/>
      <c r="P65"/>
      <c r="Q65"/>
    </row>
    <row r="66" spans="1:17" ht="21" customHeight="1">
      <c r="A66" s="704"/>
      <c r="B66" s="704"/>
      <c r="C66" s="696"/>
      <c r="D66" s="696"/>
      <c r="E66" s="696"/>
      <c r="F66" s="696"/>
      <c r="G66" s="696"/>
      <c r="H66" s="696"/>
      <c r="I66" s="704"/>
      <c r="J66" s="696"/>
      <c r="K66" s="696"/>
      <c r="L66" s="696"/>
      <c r="M66" s="670"/>
      <c r="N66"/>
      <c r="O66"/>
      <c r="P66"/>
      <c r="Q66"/>
    </row>
    <row r="67" spans="1:17" ht="21" customHeight="1">
      <c r="A67" s="704"/>
      <c r="B67" s="696"/>
      <c r="D67" s="701"/>
      <c r="E67" s="696"/>
      <c r="F67" s="702"/>
      <c r="G67" s="710"/>
      <c r="H67" s="702"/>
      <c r="I67" s="704"/>
      <c r="J67" s="702"/>
      <c r="K67" s="704"/>
      <c r="L67" s="696"/>
      <c r="M67" s="670"/>
      <c r="N67"/>
      <c r="O67"/>
      <c r="P67"/>
      <c r="Q67"/>
    </row>
    <row r="68" spans="1:17" ht="21" customHeight="1">
      <c r="A68" s="704"/>
      <c r="B68" s="704"/>
      <c r="C68" s="696"/>
      <c r="D68" s="696"/>
      <c r="E68" s="696"/>
      <c r="F68" s="696"/>
      <c r="G68" s="704"/>
      <c r="H68" s="696"/>
      <c r="I68" s="704"/>
      <c r="J68" s="696"/>
      <c r="K68" s="696"/>
      <c r="L68" s="696"/>
      <c r="M68" s="670"/>
      <c r="N68"/>
      <c r="O68"/>
      <c r="P68"/>
      <c r="Q68"/>
    </row>
    <row r="69" spans="1:17" ht="21" customHeight="1">
      <c r="A69" s="704"/>
      <c r="B69" s="696"/>
      <c r="C69" s="696"/>
      <c r="D69" s="696"/>
      <c r="E69" s="696"/>
      <c r="F69" s="702"/>
      <c r="G69" s="704"/>
      <c r="H69" s="702"/>
      <c r="I69" s="704"/>
      <c r="J69" s="702"/>
      <c r="K69" s="704"/>
      <c r="L69" s="696"/>
      <c r="M69" s="670"/>
      <c r="N69"/>
      <c r="O69"/>
      <c r="P69"/>
      <c r="Q69"/>
    </row>
    <row r="70" spans="1:17" ht="21" customHeight="1">
      <c r="A70" s="704"/>
      <c r="B70" s="696"/>
      <c r="C70" s="696"/>
      <c r="D70" s="696"/>
      <c r="E70" s="696"/>
      <c r="F70" s="702"/>
      <c r="G70" s="704"/>
      <c r="H70" s="702"/>
      <c r="I70" s="704"/>
      <c r="J70" s="702"/>
      <c r="K70" s="704"/>
      <c r="L70" s="696"/>
      <c r="M70" s="670"/>
      <c r="N70"/>
      <c r="O70"/>
      <c r="P70"/>
      <c r="Q70"/>
    </row>
    <row r="71" spans="1:17" ht="21" customHeight="1">
      <c r="A71" s="704"/>
      <c r="B71" s="696"/>
      <c r="C71" s="696"/>
      <c r="D71" s="696"/>
      <c r="E71" s="696"/>
      <c r="F71" s="702"/>
      <c r="G71" s="704"/>
      <c r="H71" s="702"/>
      <c r="I71" s="704"/>
      <c r="J71" s="702"/>
      <c r="K71" s="704"/>
      <c r="L71" s="696"/>
      <c r="M71" s="670"/>
      <c r="N71"/>
      <c r="O71"/>
      <c r="P71"/>
      <c r="Q71"/>
    </row>
    <row r="72" spans="1:17" ht="21" customHeight="1">
      <c r="A72" s="704"/>
      <c r="B72" s="696"/>
      <c r="C72" s="696"/>
      <c r="D72" s="696"/>
      <c r="E72" s="696"/>
      <c r="F72" s="702"/>
      <c r="G72" s="704"/>
      <c r="H72" s="702"/>
      <c r="I72" s="704"/>
      <c r="J72" s="702"/>
      <c r="K72" s="704"/>
      <c r="L72" s="696"/>
      <c r="M72" s="670"/>
      <c r="N72"/>
      <c r="O72"/>
      <c r="P72"/>
      <c r="Q72"/>
    </row>
    <row r="73" spans="1:17" ht="21" customHeight="1">
      <c r="A73" s="704"/>
      <c r="B73" s="696"/>
      <c r="C73" s="696"/>
      <c r="D73" s="696"/>
      <c r="E73" s="696"/>
      <c r="F73" s="702"/>
      <c r="G73" s="704"/>
      <c r="H73" s="702"/>
      <c r="I73" s="704"/>
      <c r="J73" s="702"/>
      <c r="K73" s="704"/>
      <c r="L73" s="696"/>
      <c r="M73" s="670"/>
      <c r="N73"/>
      <c r="O73"/>
      <c r="P73"/>
      <c r="Q73"/>
    </row>
    <row r="74" spans="1:17" ht="19.899999999999999" hidden="1" customHeight="1">
      <c r="A74" s="704"/>
      <c r="B74" s="696"/>
      <c r="C74" s="696"/>
      <c r="D74" s="696"/>
      <c r="E74" s="696"/>
      <c r="F74" s="702"/>
      <c r="G74" s="704"/>
      <c r="H74" s="702"/>
      <c r="I74" s="704"/>
      <c r="J74" s="702"/>
      <c r="K74" s="704"/>
      <c r="L74" s="696"/>
      <c r="M74" s="670"/>
      <c r="N74"/>
      <c r="O74"/>
      <c r="P74"/>
      <c r="Q74"/>
    </row>
    <row r="75" spans="1:17" ht="19.899999999999999" hidden="1" customHeight="1">
      <c r="A75" s="704"/>
      <c r="B75" s="696"/>
      <c r="C75" s="696"/>
      <c r="D75" s="696"/>
      <c r="E75" s="696"/>
      <c r="F75" s="702"/>
      <c r="G75" s="704"/>
      <c r="H75" s="702"/>
      <c r="I75" s="704"/>
      <c r="J75" s="702"/>
      <c r="K75" s="704"/>
      <c r="L75" s="696"/>
      <c r="M75" s="1212"/>
    </row>
    <row r="76" spans="1:17" ht="19.899999999999999" hidden="1" customHeight="1">
      <c r="A76" s="704"/>
      <c r="B76" s="696"/>
      <c r="C76" s="696"/>
      <c r="D76" s="696"/>
      <c r="E76" s="696"/>
      <c r="F76" s="702"/>
      <c r="G76" s="704"/>
      <c r="H76" s="702"/>
      <c r="I76" s="704"/>
      <c r="J76" s="702"/>
      <c r="K76" s="704"/>
      <c r="L76" s="696"/>
      <c r="M76" s="1212"/>
    </row>
    <row r="77" spans="1:17" ht="19.899999999999999" customHeight="1">
      <c r="A77" s="704"/>
      <c r="B77" s="696"/>
      <c r="C77" s="696"/>
      <c r="D77" s="696"/>
      <c r="E77" s="696"/>
      <c r="F77" s="702"/>
      <c r="G77" s="702"/>
      <c r="H77" s="702"/>
      <c r="I77" s="696"/>
      <c r="J77" s="696"/>
      <c r="K77" s="696"/>
      <c r="L77" s="696"/>
      <c r="M77" s="1212"/>
    </row>
    <row r="78" spans="1:17" ht="19.899999999999999" customHeight="1">
      <c r="A78" s="701"/>
      <c r="B78" s="696"/>
      <c r="C78" s="696"/>
      <c r="D78" s="696"/>
      <c r="E78" s="696"/>
      <c r="F78" s="702"/>
      <c r="G78" s="702"/>
      <c r="H78" s="702"/>
      <c r="I78" s="696"/>
      <c r="J78" s="696"/>
      <c r="K78" s="696"/>
      <c r="L78" s="696"/>
      <c r="M78" s="1212"/>
    </row>
    <row r="79" spans="1:17" ht="19.899999999999999" customHeight="1">
      <c r="A79" s="704"/>
      <c r="B79" s="696"/>
      <c r="C79" s="696"/>
      <c r="D79" s="696"/>
      <c r="E79" s="696"/>
      <c r="F79" s="702"/>
      <c r="G79" s="702"/>
      <c r="H79" s="702"/>
      <c r="I79" s="696"/>
      <c r="J79" s="696"/>
      <c r="K79" s="696"/>
      <c r="L79" s="696"/>
      <c r="M79" s="1212"/>
    </row>
    <row r="80" spans="1:17" ht="19.899999999999999" customHeight="1">
      <c r="A80" s="704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1212"/>
    </row>
    <row r="81" spans="1:14" ht="19.899999999999999" customHeight="1">
      <c r="A81" s="704"/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1212"/>
    </row>
    <row r="82" spans="1:14" ht="19.899999999999999" customHeight="1">
      <c r="A82" s="704"/>
      <c r="B82" s="696"/>
      <c r="C82" s="696"/>
      <c r="D82" s="696"/>
      <c r="E82" s="696"/>
      <c r="F82" s="696"/>
      <c r="G82" s="696"/>
      <c r="H82" s="696"/>
      <c r="I82" s="696"/>
      <c r="J82" s="696"/>
      <c r="K82" s="696"/>
      <c r="L82" s="696"/>
      <c r="M82" s="1212"/>
    </row>
    <row r="83" spans="1:14" ht="19.899999999999999" customHeight="1">
      <c r="E83" s="696"/>
      <c r="M83" s="1212"/>
    </row>
    <row r="84" spans="1:14" ht="21" hidden="1" customHeight="1">
      <c r="A84" s="713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1212"/>
    </row>
    <row r="85" spans="1:14" ht="21" hidden="1" customHeight="1">
      <c r="A85" s="696"/>
      <c r="B85" s="714"/>
      <c r="C85" s="714"/>
      <c r="D85" s="714"/>
      <c r="E85" s="714"/>
      <c r="F85" s="714"/>
      <c r="G85" s="714"/>
      <c r="H85" s="714"/>
      <c r="I85" s="714"/>
      <c r="J85" s="714"/>
      <c r="K85" s="714"/>
      <c r="L85" s="714"/>
      <c r="M85" s="1212"/>
    </row>
    <row r="86" spans="1:14" ht="21" hidden="1" customHeight="1">
      <c r="A86" s="704"/>
      <c r="B86" s="704"/>
      <c r="C86" s="696"/>
      <c r="D86" s="696"/>
      <c r="E86" s="696"/>
      <c r="F86" s="696"/>
      <c r="G86" s="696"/>
      <c r="H86" s="696"/>
      <c r="I86" s="696"/>
      <c r="J86" s="696"/>
      <c r="K86" s="696"/>
      <c r="L86" s="696"/>
      <c r="M86" s="1212"/>
    </row>
    <row r="87" spans="1:14" ht="21" hidden="1" customHeight="1">
      <c r="A87" s="704"/>
      <c r="B87" s="704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1212"/>
    </row>
    <row r="88" spans="1:14" ht="21" hidden="1" customHeight="1">
      <c r="A88" s="704"/>
      <c r="B88" s="704"/>
      <c r="C88" s="696"/>
      <c r="D88" s="696"/>
      <c r="E88" s="696"/>
      <c r="F88" s="696"/>
      <c r="G88" s="696"/>
      <c r="H88" s="696"/>
      <c r="I88" s="696"/>
      <c r="J88" s="696"/>
      <c r="K88" s="696"/>
      <c r="L88" s="696"/>
      <c r="M88" s="1212"/>
    </row>
    <row r="89" spans="1:14" ht="21" customHeight="1">
      <c r="A89" s="1178"/>
      <c r="B89" s="715"/>
      <c r="C89" s="696"/>
      <c r="D89" s="696"/>
      <c r="E89" s="701"/>
      <c r="F89" s="696"/>
      <c r="G89" s="704"/>
      <c r="H89" s="701"/>
      <c r="I89" s="696"/>
      <c r="J89" s="704"/>
      <c r="K89" s="696"/>
      <c r="L89" s="696"/>
      <c r="M89" s="1212"/>
    </row>
    <row r="90" spans="1:14" ht="21" customHeight="1">
      <c r="A90" s="704"/>
      <c r="B90" s="704"/>
      <c r="C90" s="696"/>
      <c r="D90" s="696"/>
      <c r="E90" s="696"/>
      <c r="F90" s="696"/>
      <c r="G90" s="704"/>
      <c r="H90" s="696"/>
      <c r="I90" s="696"/>
      <c r="J90" s="696"/>
      <c r="K90" s="696"/>
      <c r="L90" s="696"/>
      <c r="M90" s="1212"/>
    </row>
    <row r="91" spans="1:14" ht="21" customHeight="1">
      <c r="A91" s="704"/>
      <c r="B91" s="704"/>
      <c r="C91" s="696"/>
      <c r="D91" s="696"/>
      <c r="E91" s="701"/>
      <c r="F91" s="702"/>
      <c r="G91" s="704"/>
      <c r="H91" s="696"/>
      <c r="I91" s="696"/>
      <c r="J91" s="696"/>
      <c r="K91" s="696"/>
      <c r="L91" s="696"/>
      <c r="M91" s="1221"/>
      <c r="N91" s="374"/>
    </row>
    <row r="92" spans="1:14" ht="21" customHeight="1">
      <c r="A92" s="704"/>
      <c r="B92" s="701"/>
      <c r="C92" s="704"/>
      <c r="D92" s="696"/>
      <c r="E92" s="701"/>
      <c r="F92" s="702"/>
      <c r="G92" s="704"/>
      <c r="H92" s="696"/>
      <c r="I92" s="696"/>
      <c r="J92" s="696"/>
      <c r="K92" s="696"/>
      <c r="L92" s="696"/>
      <c r="M92" s="1221"/>
      <c r="N92" s="374"/>
    </row>
    <row r="93" spans="1:14" ht="21" customHeight="1">
      <c r="A93" s="704"/>
      <c r="B93" s="701"/>
      <c r="C93" s="699"/>
      <c r="D93" s="696"/>
      <c r="E93" s="701"/>
      <c r="F93" s="699"/>
      <c r="G93" s="704"/>
      <c r="H93" s="696"/>
      <c r="I93" s="696"/>
      <c r="J93" s="696"/>
      <c r="K93" s="696"/>
      <c r="L93" s="696"/>
      <c r="M93" s="1212"/>
    </row>
    <row r="94" spans="1:14" ht="21" customHeight="1">
      <c r="A94" s="704"/>
      <c r="B94" s="701"/>
      <c r="C94" s="699"/>
      <c r="D94" s="696"/>
      <c r="E94" s="701"/>
      <c r="F94" s="711"/>
      <c r="G94" s="704"/>
      <c r="H94" s="696"/>
      <c r="I94" s="700"/>
      <c r="J94" s="696"/>
      <c r="K94" s="696"/>
      <c r="L94" s="696"/>
      <c r="M94" s="1225"/>
    </row>
    <row r="95" spans="1:14" ht="21" customHeight="1">
      <c r="A95" s="704"/>
      <c r="B95" s="696"/>
      <c r="C95" s="696"/>
      <c r="D95" s="696"/>
      <c r="E95" s="716"/>
      <c r="F95" s="696"/>
      <c r="G95" s="704"/>
      <c r="H95" s="696"/>
      <c r="I95" s="696"/>
      <c r="J95" s="696"/>
      <c r="K95" s="696"/>
      <c r="L95" s="696"/>
      <c r="M95" s="1225"/>
    </row>
    <row r="96" spans="1:14" ht="21" customHeight="1">
      <c r="A96" s="696"/>
      <c r="B96" s="704"/>
      <c r="C96" s="696"/>
      <c r="D96" s="699"/>
      <c r="E96" s="704"/>
      <c r="F96" s="701"/>
      <c r="G96" s="717"/>
      <c r="H96" s="696"/>
      <c r="I96" s="718"/>
      <c r="J96" s="719"/>
      <c r="K96" s="696"/>
      <c r="L96" s="696"/>
      <c r="M96" s="1225"/>
    </row>
    <row r="97" spans="1:13" ht="21" customHeight="1">
      <c r="A97" s="704"/>
      <c r="B97" s="704"/>
      <c r="C97" s="718"/>
      <c r="D97" s="701"/>
      <c r="E97" s="720"/>
      <c r="F97" s="721"/>
      <c r="G97" s="704"/>
      <c r="H97" s="696"/>
      <c r="I97" s="696"/>
      <c r="J97" s="696"/>
      <c r="K97" s="696"/>
      <c r="L97" s="696"/>
      <c r="M97" s="1225"/>
    </row>
    <row r="98" spans="1:13" ht="21" customHeight="1">
      <c r="A98" s="1626"/>
      <c r="B98" s="1626"/>
      <c r="C98" s="722"/>
      <c r="D98" s="718"/>
      <c r="E98" s="711"/>
      <c r="F98" s="718"/>
      <c r="G98" s="699"/>
      <c r="H98" s="704"/>
      <c r="I98" s="696"/>
      <c r="J98" s="696"/>
      <c r="K98" s="696"/>
      <c r="L98" s="696"/>
      <c r="M98" s="1226"/>
    </row>
    <row r="99" spans="1:13" ht="21" hidden="1" customHeight="1">
      <c r="A99" s="695"/>
      <c r="B99" s="715"/>
      <c r="C99" s="723"/>
      <c r="D99" s="696"/>
      <c r="E99" s="696"/>
      <c r="F99" s="696"/>
      <c r="G99" s="699"/>
      <c r="H99" s="696"/>
      <c r="I99" s="696"/>
      <c r="J99" s="696"/>
      <c r="K99" s="696"/>
      <c r="L99" s="696"/>
      <c r="M99" s="1225"/>
    </row>
    <row r="100" spans="1:13" ht="21" hidden="1" customHeight="1">
      <c r="A100" s="724"/>
      <c r="B100" s="701"/>
      <c r="C100" s="699"/>
      <c r="D100" s="704"/>
      <c r="E100" s="701"/>
      <c r="F100" s="699"/>
      <c r="G100" s="704"/>
      <c r="H100" s="1626"/>
      <c r="I100" s="1626"/>
      <c r="J100" s="719"/>
      <c r="K100" s="1575"/>
      <c r="L100" s="1575"/>
      <c r="M100" s="1225"/>
    </row>
    <row r="101" spans="1:13" ht="21" hidden="1" customHeight="1">
      <c r="A101" s="725"/>
      <c r="B101" s="696"/>
      <c r="C101" s="723"/>
      <c r="D101" s="696"/>
      <c r="E101" s="726"/>
      <c r="F101" s="696"/>
      <c r="G101" s="726"/>
      <c r="H101" s="726"/>
      <c r="I101" s="726"/>
      <c r="J101" s="696"/>
      <c r="K101" s="1575"/>
      <c r="L101" s="1575"/>
      <c r="M101" s="1227"/>
    </row>
    <row r="102" spans="1:13" ht="21" hidden="1" customHeight="1">
      <c r="A102" s="704"/>
      <c r="B102" s="704"/>
      <c r="C102" s="701"/>
      <c r="D102" s="727"/>
      <c r="E102" s="696"/>
      <c r="F102" s="727"/>
      <c r="G102" s="699"/>
      <c r="H102" s="696"/>
      <c r="I102" s="696"/>
      <c r="J102" s="696"/>
      <c r="K102" s="696"/>
      <c r="L102" s="696"/>
      <c r="M102" s="1225"/>
    </row>
    <row r="103" spans="1:13" ht="21" hidden="1" customHeight="1">
      <c r="A103" s="704"/>
      <c r="B103" s="696"/>
      <c r="C103" s="701"/>
      <c r="D103" s="727"/>
      <c r="E103" s="696"/>
      <c r="F103" s="727"/>
      <c r="G103" s="728"/>
      <c r="H103" s="696"/>
      <c r="I103" s="696"/>
      <c r="J103" s="729"/>
      <c r="K103" s="696"/>
      <c r="L103" s="696"/>
      <c r="M103" s="1225"/>
    </row>
    <row r="104" spans="1:13" ht="21" hidden="1" customHeight="1">
      <c r="A104" s="704"/>
      <c r="B104" s="704"/>
      <c r="C104" s="696"/>
      <c r="D104" s="696"/>
      <c r="E104" s="701"/>
      <c r="F104" s="699"/>
      <c r="G104" s="704"/>
      <c r="H104" s="696"/>
      <c r="I104" s="696"/>
      <c r="J104" s="696"/>
      <c r="K104" s="696"/>
      <c r="L104" s="696"/>
      <c r="M104" s="1225"/>
    </row>
    <row r="105" spans="1:13" ht="21" hidden="1" customHeight="1">
      <c r="A105" s="704"/>
      <c r="B105" s="701"/>
      <c r="C105" s="699"/>
      <c r="D105" s="704"/>
      <c r="E105" s="701"/>
      <c r="F105" s="699"/>
      <c r="G105" s="704"/>
      <c r="H105" s="696"/>
      <c r="I105" s="699"/>
      <c r="J105" s="696"/>
      <c r="K105" s="696"/>
      <c r="L105" s="696"/>
      <c r="M105" s="1225"/>
    </row>
    <row r="106" spans="1:13" ht="21" hidden="1" customHeight="1">
      <c r="A106" s="704"/>
      <c r="B106" s="701"/>
      <c r="C106" s="699"/>
      <c r="D106" s="704"/>
      <c r="E106" s="701"/>
      <c r="F106" s="699"/>
      <c r="G106" s="704"/>
      <c r="H106" s="696"/>
      <c r="I106" s="696"/>
      <c r="J106" s="696"/>
      <c r="K106" s="696"/>
      <c r="L106" s="696"/>
      <c r="M106" s="1225"/>
    </row>
    <row r="107" spans="1:13" ht="21" hidden="1" customHeight="1">
      <c r="A107" s="704"/>
      <c r="B107" s="704"/>
      <c r="C107" s="696"/>
      <c r="D107" s="699"/>
      <c r="E107" s="704"/>
      <c r="F107" s="701"/>
      <c r="G107" s="717"/>
      <c r="H107" s="696"/>
      <c r="I107" s="718"/>
      <c r="J107" s="719"/>
      <c r="K107" s="696"/>
      <c r="L107" s="696"/>
      <c r="M107" s="1225"/>
    </row>
    <row r="108" spans="1:13" ht="21" hidden="1" customHeight="1">
      <c r="A108" s="704"/>
      <c r="B108" s="704"/>
      <c r="C108" s="718"/>
      <c r="D108" s="701"/>
      <c r="E108" s="720"/>
      <c r="F108" s="721"/>
      <c r="G108" s="717"/>
      <c r="H108" s="696"/>
      <c r="I108" s="718"/>
      <c r="J108" s="719"/>
      <c r="K108" s="696"/>
      <c r="L108" s="696"/>
      <c r="M108" s="1225"/>
    </row>
    <row r="109" spans="1:13" ht="21" hidden="1" customHeight="1">
      <c r="A109" s="1626"/>
      <c r="B109" s="1626"/>
      <c r="C109" s="722"/>
      <c r="D109" s="718"/>
      <c r="E109" s="711"/>
      <c r="F109" s="718"/>
      <c r="G109" s="699"/>
      <c r="H109" s="704"/>
      <c r="I109" s="718"/>
      <c r="J109" s="719"/>
      <c r="K109" s="696"/>
      <c r="L109" s="696"/>
      <c r="M109" s="1226"/>
    </row>
    <row r="110" spans="1:13" ht="21" hidden="1" customHeight="1">
      <c r="A110" s="725"/>
      <c r="B110" s="730"/>
      <c r="C110" s="696"/>
      <c r="D110" s="699"/>
      <c r="E110" s="696"/>
      <c r="F110" s="699"/>
      <c r="G110" s="699"/>
      <c r="H110" s="696"/>
      <c r="I110" s="696"/>
      <c r="J110" s="696"/>
      <c r="K110" s="696"/>
      <c r="L110" s="696"/>
      <c r="M110" s="1225"/>
    </row>
    <row r="111" spans="1:13" ht="21" hidden="1" customHeight="1">
      <c r="A111" s="704"/>
      <c r="B111" s="704"/>
      <c r="C111" s="696"/>
      <c r="D111" s="719"/>
      <c r="E111" s="704"/>
      <c r="F111" s="701"/>
      <c r="G111" s="717"/>
      <c r="H111" s="696"/>
      <c r="I111" s="718"/>
      <c r="J111" s="719"/>
      <c r="K111" s="696"/>
      <c r="L111" s="696"/>
      <c r="M111" s="1225"/>
    </row>
    <row r="112" spans="1:13" ht="21" hidden="1" customHeight="1">
      <c r="A112" s="704"/>
      <c r="B112" s="704"/>
      <c r="C112" s="718"/>
      <c r="D112" s="701"/>
      <c r="E112" s="720"/>
      <c r="F112" s="721"/>
      <c r="G112" s="717"/>
      <c r="H112" s="696"/>
      <c r="I112" s="718"/>
      <c r="J112" s="719"/>
      <c r="K112" s="696"/>
      <c r="L112" s="696"/>
      <c r="M112" s="1225"/>
    </row>
    <row r="113" spans="1:13" ht="21" hidden="1" customHeight="1">
      <c r="A113" s="1626"/>
      <c r="B113" s="1626"/>
      <c r="C113" s="722"/>
      <c r="D113" s="718"/>
      <c r="E113" s="711"/>
      <c r="F113" s="718"/>
      <c r="G113" s="699"/>
      <c r="H113" s="704"/>
      <c r="I113" s="718"/>
      <c r="J113" s="719"/>
      <c r="K113" s="696"/>
      <c r="L113" s="696"/>
      <c r="M113" s="1226"/>
    </row>
    <row r="114" spans="1:13" ht="22.15" hidden="1" customHeight="1">
      <c r="A114" s="695"/>
      <c r="B114" s="715"/>
      <c r="C114" s="718"/>
      <c r="D114" s="699"/>
      <c r="E114" s="696"/>
      <c r="F114" s="696"/>
      <c r="G114" s="696"/>
      <c r="H114" s="696"/>
      <c r="I114" s="699"/>
      <c r="J114" s="729"/>
      <c r="K114" s="696"/>
      <c r="L114" s="696"/>
      <c r="M114" s="1225"/>
    </row>
    <row r="115" spans="1:13" ht="22.15" hidden="1" customHeight="1">
      <c r="A115" s="724"/>
      <c r="B115" s="701"/>
      <c r="C115" s="699"/>
      <c r="D115" s="704"/>
      <c r="E115" s="701"/>
      <c r="F115" s="699"/>
      <c r="G115" s="704"/>
      <c r="H115" s="696"/>
      <c r="I115" s="696"/>
      <c r="J115" s="696"/>
      <c r="K115" s="696"/>
      <c r="L115" s="696"/>
      <c r="M115" s="1228"/>
    </row>
    <row r="116" spans="1:13" ht="22.15" hidden="1" customHeight="1">
      <c r="A116" s="704"/>
      <c r="B116" s="696"/>
      <c r="C116" s="701"/>
      <c r="D116" s="731"/>
      <c r="E116" s="701"/>
      <c r="F116" s="727"/>
      <c r="G116" s="699"/>
      <c r="H116" s="696"/>
      <c r="I116" s="696"/>
      <c r="J116" s="696"/>
      <c r="K116" s="696"/>
      <c r="L116" s="696"/>
      <c r="M116" s="1229"/>
    </row>
    <row r="117" spans="1:13" ht="22.15" hidden="1" customHeight="1">
      <c r="A117" s="704"/>
      <c r="B117" s="696"/>
      <c r="C117" s="701"/>
      <c r="D117" s="731"/>
      <c r="E117" s="701"/>
      <c r="F117" s="727"/>
      <c r="G117" s="699"/>
      <c r="H117" s="696"/>
      <c r="I117" s="696"/>
      <c r="J117" s="696"/>
      <c r="K117" s="696"/>
      <c r="L117" s="696"/>
      <c r="M117" s="1225"/>
    </row>
    <row r="118" spans="1:13" ht="22.15" hidden="1" customHeight="1">
      <c r="A118" s="704"/>
      <c r="B118" s="704"/>
      <c r="C118" s="696"/>
      <c r="D118" s="696"/>
      <c r="E118" s="701"/>
      <c r="F118" s="699"/>
      <c r="G118" s="704"/>
      <c r="H118" s="696"/>
      <c r="I118" s="710"/>
      <c r="J118" s="696"/>
      <c r="K118" s="696"/>
      <c r="L118" s="696"/>
      <c r="M118" s="1225"/>
    </row>
    <row r="119" spans="1:13" ht="22.15" hidden="1" customHeight="1">
      <c r="A119" s="704"/>
      <c r="B119" s="701"/>
      <c r="C119" s="720"/>
      <c r="D119" s="704"/>
      <c r="E119" s="701"/>
      <c r="F119" s="699"/>
      <c r="G119" s="704"/>
      <c r="H119" s="699"/>
      <c r="I119" s="699"/>
      <c r="J119" s="696"/>
      <c r="K119" s="696"/>
      <c r="L119" s="696"/>
      <c r="M119" s="1225"/>
    </row>
    <row r="120" spans="1:13" ht="22.15" hidden="1" customHeight="1">
      <c r="A120" s="704"/>
      <c r="B120" s="701"/>
      <c r="C120" s="720"/>
      <c r="D120" s="704"/>
      <c r="E120" s="701"/>
      <c r="F120" s="699"/>
      <c r="G120" s="704"/>
      <c r="H120" s="696"/>
      <c r="I120" s="696"/>
      <c r="J120" s="696"/>
      <c r="K120" s="696"/>
      <c r="L120" s="696"/>
      <c r="M120" s="1225"/>
    </row>
    <row r="121" spans="1:13" ht="22.15" hidden="1" customHeight="1">
      <c r="A121" s="704"/>
      <c r="B121" s="704"/>
      <c r="C121" s="718"/>
      <c r="D121" s="699"/>
      <c r="E121" s="704"/>
      <c r="F121" s="701"/>
      <c r="G121" s="717"/>
      <c r="H121" s="696"/>
      <c r="I121" s="718"/>
      <c r="J121" s="719"/>
      <c r="K121" s="696"/>
      <c r="L121" s="696"/>
      <c r="M121" s="1225"/>
    </row>
    <row r="122" spans="1:13" ht="22.15" hidden="1" customHeight="1">
      <c r="A122" s="704"/>
      <c r="B122" s="704"/>
      <c r="C122" s="718"/>
      <c r="D122" s="701"/>
      <c r="E122" s="720"/>
      <c r="F122" s="721"/>
      <c r="G122" s="699"/>
      <c r="H122" s="696"/>
      <c r="J122" s="719"/>
      <c r="K122" s="696"/>
      <c r="L122" s="696"/>
      <c r="M122" s="1225"/>
    </row>
    <row r="123" spans="1:13" ht="22.15" hidden="1" customHeight="1">
      <c r="A123" s="1626"/>
      <c r="B123" s="1626"/>
      <c r="C123" s="722"/>
      <c r="D123" s="716"/>
      <c r="E123" s="711"/>
      <c r="F123" s="718"/>
      <c r="G123" s="699"/>
      <c r="H123" s="704"/>
      <c r="J123" s="719"/>
      <c r="K123" s="696"/>
      <c r="L123" s="696"/>
      <c r="M123" s="1225"/>
    </row>
    <row r="124" spans="1:13" ht="22.15" hidden="1" customHeight="1">
      <c r="A124" s="704"/>
      <c r="B124" s="704"/>
      <c r="C124" s="717"/>
      <c r="D124" s="696"/>
      <c r="E124" s="718"/>
      <c r="F124" s="719"/>
      <c r="G124" s="699"/>
      <c r="H124" s="696"/>
      <c r="I124" s="696"/>
      <c r="J124" s="696"/>
      <c r="K124" s="696"/>
      <c r="L124" s="696"/>
      <c r="M124" s="1225"/>
    </row>
    <row r="125" spans="1:13" ht="22.15" hidden="1" customHeight="1">
      <c r="A125" s="704"/>
      <c r="B125" s="701"/>
      <c r="C125" s="717"/>
      <c r="D125" s="704"/>
      <c r="E125" s="701"/>
      <c r="F125" s="717"/>
      <c r="G125" s="696"/>
      <c r="H125" s="718"/>
      <c r="I125" s="719"/>
      <c r="J125" s="701"/>
      <c r="K125" s="696"/>
      <c r="L125" s="696"/>
      <c r="M125" s="1225"/>
    </row>
    <row r="126" spans="1:13" ht="22.15" hidden="1" customHeight="1">
      <c r="A126" s="704"/>
      <c r="B126" s="704"/>
      <c r="C126" s="718"/>
      <c r="D126" s="701"/>
      <c r="E126" s="720"/>
      <c r="F126" s="721"/>
      <c r="G126" s="699"/>
      <c r="H126" s="696"/>
      <c r="I126" s="696"/>
      <c r="J126" s="696"/>
      <c r="K126" s="696"/>
      <c r="L126" s="696"/>
      <c r="M126" s="1225"/>
    </row>
    <row r="127" spans="1:13" ht="22.15" hidden="1" customHeight="1">
      <c r="A127" s="1626"/>
      <c r="B127" s="1626"/>
      <c r="C127" s="722"/>
      <c r="D127" s="716"/>
      <c r="E127" s="711"/>
      <c r="F127" s="718"/>
      <c r="G127" s="699"/>
      <c r="H127" s="704"/>
      <c r="I127" s="696"/>
      <c r="J127" s="696"/>
      <c r="K127" s="696"/>
      <c r="L127" s="696"/>
      <c r="M127" s="1225"/>
    </row>
    <row r="128" spans="1:13" ht="22.15" hidden="1" customHeight="1">
      <c r="A128" s="1626"/>
      <c r="B128" s="1626"/>
      <c r="C128" s="696"/>
      <c r="D128" s="696"/>
      <c r="E128" s="704"/>
      <c r="F128" s="699"/>
      <c r="G128" s="699"/>
      <c r="H128" s="696"/>
      <c r="I128" s="696"/>
      <c r="J128" s="696"/>
      <c r="K128" s="696"/>
      <c r="L128" s="696"/>
      <c r="M128" s="1225"/>
    </row>
    <row r="129" spans="1:20" ht="22.15" customHeight="1">
      <c r="A129" s="1178"/>
      <c r="B129" s="696"/>
      <c r="C129" s="718"/>
      <c r="D129" s="699"/>
      <c r="E129" s="696"/>
      <c r="F129" s="699"/>
      <c r="G129" s="699"/>
      <c r="H129" s="696"/>
      <c r="I129" s="696"/>
      <c r="J129" s="696"/>
      <c r="K129" s="696"/>
      <c r="L129" s="696"/>
      <c r="M129" s="1225"/>
    </row>
    <row r="130" spans="1:20" ht="22.15" customHeight="1">
      <c r="A130" s="704"/>
      <c r="B130" s="732"/>
      <c r="C130" s="696"/>
      <c r="D130" s="704"/>
      <c r="E130" s="696"/>
      <c r="F130" s="699"/>
      <c r="G130" s="699"/>
      <c r="H130" s="696"/>
      <c r="I130" s="696"/>
      <c r="J130" s="696"/>
      <c r="K130" s="696"/>
      <c r="L130" s="696"/>
      <c r="M130" s="1225"/>
    </row>
    <row r="131" spans="1:20" ht="22.15" customHeight="1">
      <c r="A131" s="1654"/>
      <c r="B131" s="1654"/>
      <c r="C131" s="1654"/>
      <c r="D131" s="718"/>
      <c r="E131" s="729"/>
      <c r="F131" s="759"/>
      <c r="I131" s="696"/>
      <c r="J131" s="696"/>
      <c r="K131" s="696"/>
      <c r="L131" s="716"/>
      <c r="M131" s="1225"/>
    </row>
    <row r="132" spans="1:20" ht="19.899999999999999" hidden="1" customHeight="1">
      <c r="A132" s="713"/>
      <c r="B132" s="696"/>
      <c r="C132" s="696"/>
      <c r="D132" s="696"/>
      <c r="E132" s="696"/>
      <c r="F132" s="696"/>
      <c r="G132" s="696"/>
      <c r="H132" s="1620"/>
      <c r="I132" s="1620"/>
      <c r="J132" s="704"/>
      <c r="K132" s="696"/>
      <c r="L132" s="696"/>
      <c r="M132" s="1212"/>
      <c r="Q132" s="1718"/>
      <c r="R132" s="1718"/>
    </row>
    <row r="133" spans="1:20" ht="19.899999999999999" hidden="1" customHeight="1">
      <c r="A133" s="704"/>
      <c r="B133" s="696"/>
      <c r="C133" s="696"/>
      <c r="D133" s="696"/>
      <c r="E133" s="696"/>
      <c r="F133" s="696"/>
      <c r="G133" s="696"/>
      <c r="H133" s="696"/>
      <c r="I133" s="696"/>
      <c r="J133" s="699"/>
      <c r="K133" s="696"/>
      <c r="L133" s="696"/>
      <c r="M133" s="1212"/>
      <c r="Q133" s="370"/>
      <c r="R133" s="370"/>
    </row>
    <row r="134" spans="1:20" ht="19.899999999999999" hidden="1" customHeight="1">
      <c r="A134" s="704"/>
      <c r="B134" s="696"/>
      <c r="C134" s="696"/>
      <c r="D134" s="696"/>
      <c r="E134" s="696"/>
      <c r="F134" s="696"/>
      <c r="G134" s="696"/>
      <c r="H134" s="696"/>
      <c r="I134" s="696"/>
      <c r="J134" s="699"/>
      <c r="K134" s="696"/>
      <c r="L134" s="696"/>
      <c r="M134" s="1212"/>
      <c r="N134" s="426"/>
      <c r="P134" s="257"/>
      <c r="Q134" s="370"/>
      <c r="R134" s="370"/>
    </row>
    <row r="135" spans="1:20" ht="19.899999999999999" hidden="1" customHeight="1">
      <c r="A135" s="704"/>
      <c r="B135" s="696"/>
      <c r="C135" s="696"/>
      <c r="D135" s="696"/>
      <c r="E135" s="696"/>
      <c r="F135" s="696"/>
      <c r="G135" s="696"/>
      <c r="H135" s="696"/>
      <c r="I135" s="696"/>
      <c r="J135" s="699"/>
      <c r="K135" s="696"/>
      <c r="L135" s="696"/>
      <c r="M135" s="1212"/>
      <c r="N135" s="427"/>
      <c r="P135" s="257"/>
      <c r="Q135" s="370"/>
      <c r="R135" s="370"/>
    </row>
    <row r="136" spans="1:20" ht="19.899999999999999" hidden="1" customHeight="1">
      <c r="A136" s="704"/>
      <c r="B136" s="696"/>
      <c r="C136" s="696"/>
      <c r="D136" s="696"/>
      <c r="E136" s="696"/>
      <c r="F136" s="696"/>
      <c r="G136" s="696"/>
      <c r="H136" s="696"/>
      <c r="I136" s="696"/>
      <c r="J136" s="699"/>
      <c r="K136" s="696"/>
      <c r="L136" s="696"/>
      <c r="M136" s="1212"/>
      <c r="N136" s="427"/>
      <c r="P136" s="257"/>
      <c r="Q136" s="370"/>
      <c r="R136" s="370"/>
    </row>
    <row r="137" spans="1:20" ht="19.899999999999999" hidden="1" customHeight="1">
      <c r="A137" s="704"/>
      <c r="B137" s="696"/>
      <c r="C137" s="696"/>
      <c r="D137" s="696"/>
      <c r="E137" s="696"/>
      <c r="F137" s="696"/>
      <c r="G137" s="696"/>
      <c r="H137" s="696"/>
      <c r="I137" s="696"/>
      <c r="J137" s="699"/>
      <c r="K137" s="696"/>
      <c r="L137" s="728"/>
      <c r="M137" s="1212"/>
      <c r="N137" s="425"/>
      <c r="Q137" s="370"/>
      <c r="R137" s="370"/>
    </row>
    <row r="138" spans="1:20" ht="19.899999999999999" hidden="1" customHeight="1">
      <c r="A138" s="704"/>
      <c r="B138" s="696"/>
      <c r="C138" s="696"/>
      <c r="D138" s="696"/>
      <c r="E138" s="696"/>
      <c r="F138" s="696"/>
      <c r="G138" s="696"/>
      <c r="H138" s="696"/>
      <c r="I138" s="696"/>
      <c r="J138" s="699"/>
      <c r="K138" s="696"/>
      <c r="L138" s="728"/>
      <c r="M138" s="1212"/>
      <c r="N138" s="257"/>
    </row>
    <row r="139" spans="1:20" ht="19.899999999999999" hidden="1" customHeight="1">
      <c r="A139" s="704"/>
      <c r="B139" s="696"/>
      <c r="C139" s="696"/>
      <c r="D139" s="696"/>
      <c r="E139" s="696"/>
      <c r="F139" s="696"/>
      <c r="G139" s="696"/>
      <c r="H139" s="696"/>
      <c r="I139" s="696"/>
      <c r="J139" s="699"/>
      <c r="K139" s="696"/>
      <c r="L139" s="728"/>
      <c r="M139" s="1212"/>
      <c r="N139" s="426"/>
      <c r="Q139" s="370"/>
      <c r="R139" s="370"/>
      <c r="T139" s="370"/>
    </row>
    <row r="140" spans="1:20" ht="19.899999999999999" hidden="1" customHeight="1">
      <c r="A140" s="704"/>
      <c r="B140" s="696"/>
      <c r="C140" s="696"/>
      <c r="D140" s="696"/>
      <c r="E140" s="696"/>
      <c r="F140" s="696"/>
      <c r="G140" s="696"/>
      <c r="H140" s="696"/>
      <c r="I140" s="696"/>
      <c r="J140" s="699"/>
      <c r="K140" s="696"/>
      <c r="L140" s="728"/>
      <c r="M140" s="1212"/>
      <c r="N140" s="426"/>
      <c r="Q140" s="257"/>
      <c r="T140" s="257"/>
    </row>
    <row r="141" spans="1:20" ht="19.899999999999999" hidden="1" customHeight="1">
      <c r="A141" s="704"/>
      <c r="B141" s="696"/>
      <c r="C141" s="696"/>
      <c r="D141" s="696"/>
      <c r="E141" s="696"/>
      <c r="F141" s="696"/>
      <c r="G141" s="696"/>
      <c r="H141" s="1620"/>
      <c r="I141" s="1620"/>
      <c r="J141" s="704"/>
      <c r="K141" s="699"/>
      <c r="L141" s="699"/>
      <c r="M141" s="1212"/>
      <c r="N141" s="426"/>
      <c r="Q141" s="257"/>
      <c r="T141" s="257"/>
    </row>
    <row r="142" spans="1:20" ht="19.899999999999999" hidden="1" customHeight="1">
      <c r="A142" s="704"/>
      <c r="B142" s="696"/>
      <c r="C142" s="696"/>
      <c r="D142" s="696"/>
      <c r="E142" s="696"/>
      <c r="F142" s="696"/>
      <c r="G142" s="696"/>
      <c r="H142" s="696"/>
      <c r="I142" s="696"/>
      <c r="J142" s="696"/>
      <c r="K142" s="699"/>
      <c r="L142" s="699"/>
      <c r="M142" s="1212"/>
      <c r="Q142" s="370"/>
    </row>
    <row r="143" spans="1:20" ht="19.899999999999999" hidden="1" customHeight="1">
      <c r="A143" s="704"/>
      <c r="B143" s="696"/>
      <c r="C143" s="696"/>
      <c r="D143" s="696"/>
      <c r="E143" s="696"/>
      <c r="F143" s="696"/>
      <c r="G143" s="696"/>
      <c r="H143" s="696"/>
      <c r="I143" s="696"/>
      <c r="J143" s="699"/>
      <c r="K143" s="696"/>
      <c r="L143" s="696"/>
      <c r="M143" s="1212"/>
    </row>
    <row r="144" spans="1:20" ht="19.899999999999999" hidden="1" customHeight="1">
      <c r="A144" s="704"/>
      <c r="B144" s="696"/>
      <c r="C144" s="696"/>
      <c r="D144" s="696"/>
      <c r="E144" s="696"/>
      <c r="F144" s="696"/>
      <c r="G144" s="696"/>
      <c r="H144" s="696"/>
      <c r="I144" s="696"/>
      <c r="J144" s="699"/>
      <c r="L144" s="696"/>
      <c r="M144" s="1212"/>
      <c r="N144" s="257"/>
      <c r="O144" s="370"/>
    </row>
    <row r="145" spans="1:15" ht="19.899999999999999" hidden="1" customHeight="1">
      <c r="A145" s="704"/>
      <c r="B145" s="696"/>
      <c r="C145" s="696"/>
      <c r="D145" s="696"/>
      <c r="E145" s="696"/>
      <c r="F145" s="696"/>
      <c r="G145" s="696"/>
      <c r="H145" s="696"/>
      <c r="I145" s="696"/>
      <c r="J145" s="699"/>
      <c r="K145" s="696"/>
      <c r="L145" s="696"/>
      <c r="M145" s="1212"/>
    </row>
    <row r="146" spans="1:15" ht="19.899999999999999" hidden="1" customHeight="1">
      <c r="A146" s="704"/>
      <c r="B146" s="696"/>
      <c r="C146" s="696"/>
      <c r="D146" s="696"/>
      <c r="E146" s="696"/>
      <c r="F146" s="696"/>
      <c r="G146" s="696"/>
      <c r="H146" s="696"/>
      <c r="I146" s="696"/>
      <c r="J146" s="699"/>
      <c r="K146" s="696"/>
      <c r="L146" s="696"/>
      <c r="M146" s="1212"/>
    </row>
    <row r="147" spans="1:15" ht="19.899999999999999" hidden="1" customHeight="1">
      <c r="A147" s="704"/>
      <c r="B147" s="696"/>
      <c r="C147" s="696"/>
      <c r="D147" s="696"/>
      <c r="E147" s="696"/>
      <c r="F147" s="696"/>
      <c r="G147" s="696"/>
      <c r="H147" s="696"/>
      <c r="I147" s="696"/>
      <c r="J147" s="699"/>
      <c r="K147" s="696"/>
      <c r="L147" s="696"/>
      <c r="M147" s="1212"/>
    </row>
    <row r="148" spans="1:15" ht="19.899999999999999" hidden="1" customHeight="1">
      <c r="A148" s="704"/>
      <c r="B148" s="696"/>
      <c r="C148" s="696"/>
      <c r="D148" s="696"/>
      <c r="E148" s="696"/>
      <c r="F148" s="696"/>
      <c r="G148" s="696"/>
      <c r="H148" s="696"/>
      <c r="I148" s="696"/>
      <c r="J148" s="699"/>
      <c r="K148" s="699"/>
      <c r="L148" s="699"/>
      <c r="M148" s="1212"/>
    </row>
    <row r="149" spans="1:15" ht="19.899999999999999" hidden="1" customHeight="1">
      <c r="A149" s="704"/>
      <c r="B149" s="696"/>
      <c r="C149" s="696"/>
      <c r="D149" s="696"/>
      <c r="E149" s="696"/>
      <c r="F149" s="696"/>
      <c r="G149" s="696"/>
      <c r="H149" s="696"/>
      <c r="I149" s="696"/>
      <c r="J149" s="699"/>
      <c r="K149" s="699"/>
      <c r="L149" s="699"/>
      <c r="M149" s="1212"/>
      <c r="O149" s="374"/>
    </row>
    <row r="150" spans="1:15" ht="19.899999999999999" hidden="1" customHeight="1">
      <c r="A150" s="704"/>
      <c r="B150" s="696"/>
      <c r="C150" s="696"/>
      <c r="D150" s="696"/>
      <c r="E150" s="696"/>
      <c r="F150" s="696"/>
      <c r="G150" s="696"/>
      <c r="H150" s="696"/>
      <c r="I150" s="696"/>
      <c r="J150" s="696"/>
      <c r="K150" s="699"/>
      <c r="L150" s="699"/>
      <c r="M150" s="1212"/>
    </row>
    <row r="151" spans="1:15" ht="19.899999999999999" hidden="1" customHeight="1">
      <c r="A151" s="704"/>
      <c r="B151" s="696"/>
      <c r="C151" s="696"/>
      <c r="D151" s="696"/>
      <c r="E151" s="696"/>
      <c r="F151" s="696"/>
      <c r="G151" s="696"/>
      <c r="H151" s="1587"/>
      <c r="I151" s="1587"/>
      <c r="J151" s="704"/>
      <c r="K151" s="696"/>
      <c r="L151" s="696"/>
      <c r="M151" s="1212"/>
    </row>
    <row r="152" spans="1:15" ht="22.15" hidden="1" customHeight="1">
      <c r="A152" s="1626"/>
      <c r="B152" s="1626"/>
      <c r="C152" s="1626"/>
      <c r="D152" s="701"/>
      <c r="E152" s="702"/>
      <c r="F152" s="704"/>
      <c r="G152" s="696"/>
      <c r="H152" s="702"/>
      <c r="I152" s="696"/>
      <c r="J152" s="696"/>
      <c r="K152" s="696"/>
      <c r="L152" s="696"/>
      <c r="M152" s="1230"/>
    </row>
    <row r="153" spans="1:15" ht="22.15" hidden="1" customHeight="1">
      <c r="A153" s="1626"/>
      <c r="B153" s="1626"/>
      <c r="C153" s="1626"/>
      <c r="D153" s="701"/>
      <c r="E153" s="728"/>
      <c r="F153" s="704"/>
      <c r="G153" s="696"/>
      <c r="H153" s="702"/>
      <c r="I153" s="696"/>
      <c r="J153" s="696"/>
      <c r="K153" s="696"/>
      <c r="L153" s="696"/>
      <c r="M153" s="1212"/>
    </row>
    <row r="154" spans="1:15" ht="22.15" hidden="1" customHeight="1">
      <c r="A154" s="1626"/>
      <c r="B154" s="1626"/>
      <c r="C154" s="1626"/>
      <c r="D154" s="701"/>
      <c r="E154" s="699"/>
      <c r="F154" s="704"/>
      <c r="G154" s="696"/>
      <c r="H154" s="733"/>
      <c r="I154" s="696"/>
      <c r="J154" s="696"/>
      <c r="K154" s="696"/>
      <c r="L154" s="696"/>
      <c r="M154" s="1212"/>
    </row>
    <row r="155" spans="1:15" ht="22.15" hidden="1" customHeight="1">
      <c r="A155" s="704"/>
      <c r="B155" s="696"/>
      <c r="C155" s="696"/>
      <c r="D155" s="701"/>
      <c r="E155" s="699"/>
      <c r="F155" s="704"/>
      <c r="G155" s="696"/>
      <c r="H155" s="733"/>
      <c r="I155" s="696"/>
      <c r="J155" s="696"/>
      <c r="K155" s="696"/>
      <c r="L155" s="696"/>
      <c r="M155" s="1212"/>
    </row>
    <row r="156" spans="1:15" ht="22.15" hidden="1" customHeight="1">
      <c r="A156" s="704"/>
      <c r="B156" s="1653"/>
      <c r="C156" s="1653"/>
      <c r="D156" s="701"/>
      <c r="E156" s="702"/>
      <c r="F156" s="704"/>
      <c r="G156" s="696"/>
      <c r="H156" s="696"/>
      <c r="I156" s="696"/>
      <c r="J156" s="696"/>
      <c r="K156" s="696"/>
      <c r="L156" s="696"/>
      <c r="M156" s="1212"/>
    </row>
    <row r="157" spans="1:15" ht="22.15" hidden="1" customHeight="1">
      <c r="A157" s="704"/>
      <c r="B157" s="696"/>
      <c r="C157" s="696"/>
      <c r="D157" s="716"/>
      <c r="E157" s="733"/>
      <c r="F157" s="704"/>
      <c r="G157" s="696"/>
      <c r="H157" s="696"/>
      <c r="I157" s="696"/>
      <c r="J157" s="696"/>
      <c r="K157" s="696"/>
      <c r="L157" s="696"/>
      <c r="M157" s="1212"/>
    </row>
    <row r="158" spans="1:15" ht="22.15" hidden="1" customHeight="1">
      <c r="A158" s="704"/>
      <c r="B158" s="696"/>
      <c r="C158" s="696"/>
      <c r="D158" s="716"/>
      <c r="E158" s="719"/>
      <c r="F158" s="704"/>
      <c r="G158" s="696"/>
      <c r="H158" s="696"/>
      <c r="I158" s="696"/>
      <c r="J158" s="696"/>
      <c r="K158" s="696"/>
      <c r="L158" s="696"/>
      <c r="M158" s="1212"/>
    </row>
    <row r="159" spans="1:15" ht="22.15" hidden="1" customHeight="1">
      <c r="A159" s="704"/>
      <c r="B159" s="696"/>
      <c r="C159" s="701"/>
      <c r="D159" s="699"/>
      <c r="E159" s="696"/>
      <c r="F159" s="696"/>
      <c r="G159" s="696"/>
      <c r="H159" s="696"/>
      <c r="I159" s="696"/>
      <c r="J159" s="696"/>
      <c r="K159" s="696"/>
      <c r="L159" s="696"/>
      <c r="M159" s="1212"/>
    </row>
    <row r="160" spans="1:15" ht="22.15" hidden="1" customHeight="1">
      <c r="A160" s="704"/>
      <c r="B160" s="737"/>
      <c r="C160" s="737"/>
      <c r="D160" s="701"/>
      <c r="E160" s="702"/>
      <c r="F160" s="704"/>
      <c r="G160" s="696"/>
      <c r="H160" s="696"/>
      <c r="I160" s="696"/>
      <c r="J160" s="696"/>
      <c r="K160" s="696"/>
      <c r="L160" s="696"/>
      <c r="M160" s="1212"/>
    </row>
    <row r="161" spans="1:15" ht="22.15" hidden="1" customHeight="1">
      <c r="A161" s="704"/>
      <c r="B161" s="696"/>
      <c r="C161" s="696"/>
      <c r="D161" s="716"/>
      <c r="E161" s="733"/>
      <c r="F161" s="696"/>
      <c r="G161" s="696"/>
      <c r="H161" s="696"/>
      <c r="I161" s="696"/>
      <c r="J161" s="696"/>
      <c r="K161" s="696"/>
      <c r="L161" s="696"/>
      <c r="M161" s="1212"/>
    </row>
    <row r="162" spans="1:15" ht="22.15" hidden="1" customHeight="1">
      <c r="A162" s="704"/>
      <c r="B162" s="696"/>
      <c r="C162" s="696"/>
      <c r="D162" s="716"/>
      <c r="E162" s="719"/>
      <c r="F162" s="696"/>
      <c r="G162" s="696"/>
      <c r="H162" s="696"/>
      <c r="I162" s="696"/>
      <c r="J162" s="696"/>
      <c r="K162" s="696"/>
      <c r="L162" s="696"/>
      <c r="M162" s="1212"/>
    </row>
    <row r="163" spans="1:15" ht="22.15" hidden="1" customHeight="1">
      <c r="A163" s="704"/>
      <c r="B163" s="696"/>
      <c r="C163" s="701"/>
      <c r="D163" s="719"/>
      <c r="E163" s="696"/>
      <c r="F163" s="734"/>
      <c r="G163" s="734"/>
      <c r="H163" s="734"/>
      <c r="I163" s="734"/>
      <c r="J163" s="696"/>
      <c r="K163" s="696"/>
      <c r="L163" s="696"/>
      <c r="M163" s="670"/>
    </row>
    <row r="164" spans="1:15" ht="22.15" hidden="1" customHeight="1">
      <c r="A164" s="1626"/>
      <c r="B164" s="1626"/>
      <c r="C164" s="735"/>
      <c r="D164" s="696"/>
      <c r="E164" s="711"/>
      <c r="F164" s="718"/>
      <c r="G164" s="699"/>
      <c r="H164" s="704"/>
      <c r="I164" s="696"/>
      <c r="J164" s="696"/>
      <c r="K164" s="696"/>
      <c r="L164" s="696"/>
      <c r="M164" s="1212"/>
    </row>
    <row r="165" spans="1:15" ht="22.15" hidden="1" customHeight="1">
      <c r="A165" s="1626"/>
      <c r="B165" s="1626"/>
      <c r="C165" s="696"/>
      <c r="D165" s="696"/>
      <c r="E165" s="704"/>
      <c r="F165" s="699"/>
      <c r="G165" s="696"/>
      <c r="H165" s="696"/>
      <c r="I165" s="696"/>
      <c r="J165" s="696"/>
      <c r="K165" s="696"/>
      <c r="L165" s="696"/>
      <c r="M165" s="1212"/>
    </row>
    <row r="166" spans="1:15" ht="22.15" hidden="1" customHeight="1">
      <c r="A166" s="704"/>
      <c r="B166" s="725"/>
      <c r="C166" s="696"/>
      <c r="D166" s="718"/>
      <c r="E166" s="696"/>
      <c r="F166" s="696"/>
      <c r="G166" s="696"/>
      <c r="H166" s="696"/>
      <c r="I166" s="696"/>
      <c r="J166" s="696"/>
      <c r="K166" s="696"/>
      <c r="L166" s="696"/>
      <c r="M166" s="1212"/>
    </row>
    <row r="167" spans="1:15" ht="22.15" hidden="1" customHeight="1">
      <c r="A167" s="704"/>
      <c r="B167" s="700"/>
      <c r="C167" s="700"/>
      <c r="D167" s="701"/>
      <c r="E167" s="736"/>
      <c r="F167" s="704"/>
      <c r="G167" s="696"/>
      <c r="H167" s="696"/>
      <c r="I167" s="696"/>
      <c r="J167" s="696"/>
      <c r="K167" s="696"/>
      <c r="L167" s="696"/>
      <c r="M167" s="1212"/>
    </row>
    <row r="168" spans="1:15" ht="22.15" hidden="1" customHeight="1">
      <c r="A168" s="704"/>
      <c r="B168" s="704"/>
      <c r="C168" s="696"/>
      <c r="D168" s="696"/>
      <c r="E168" s="696"/>
      <c r="F168" s="701"/>
      <c r="G168" s="704"/>
      <c r="H168" s="696"/>
      <c r="I168" s="696"/>
      <c r="J168" s="696"/>
      <c r="K168" s="696"/>
      <c r="L168" s="696"/>
      <c r="M168" s="1212"/>
    </row>
    <row r="169" spans="1:15" ht="22.15" hidden="1" customHeight="1">
      <c r="A169" s="704"/>
      <c r="B169" s="704"/>
      <c r="C169" s="704"/>
      <c r="D169" s="696"/>
      <c r="E169" s="696"/>
      <c r="F169" s="696"/>
      <c r="G169" s="696"/>
      <c r="H169" s="696"/>
      <c r="I169" s="696"/>
      <c r="J169" s="696"/>
      <c r="K169" s="696"/>
      <c r="L169" s="696"/>
      <c r="M169" s="1212"/>
    </row>
    <row r="170" spans="1:15" ht="22.15" customHeight="1">
      <c r="A170" s="713"/>
      <c r="B170" s="696"/>
      <c r="C170" s="696"/>
      <c r="D170" s="696"/>
      <c r="E170" s="696"/>
      <c r="F170" s="696"/>
      <c r="G170" s="696"/>
      <c r="H170" s="696"/>
      <c r="I170" s="696"/>
      <c r="J170" s="696"/>
      <c r="K170" s="702"/>
      <c r="L170" s="704"/>
      <c r="M170" s="1212"/>
    </row>
    <row r="171" spans="1:15" ht="22.15" customHeight="1">
      <c r="A171" s="704"/>
      <c r="B171" s="695"/>
      <c r="C171" s="696"/>
      <c r="D171" s="696"/>
      <c r="E171" s="696"/>
      <c r="F171" s="696"/>
      <c r="G171" s="696"/>
      <c r="H171" s="696"/>
      <c r="I171" s="696"/>
      <c r="J171" s="696"/>
      <c r="K171" s="696"/>
      <c r="L171" s="696"/>
      <c r="M171" s="1212"/>
    </row>
    <row r="172" spans="1:15" ht="22.15" customHeight="1">
      <c r="A172" s="704"/>
      <c r="B172" s="704"/>
      <c r="C172" s="696"/>
      <c r="D172" s="696"/>
      <c r="E172" s="696"/>
      <c r="F172" s="704"/>
      <c r="G172" s="696"/>
      <c r="H172" s="696"/>
      <c r="I172" s="696"/>
      <c r="J172" s="729"/>
      <c r="K172" s="704"/>
      <c r="L172" s="696"/>
      <c r="M172" s="1212"/>
      <c r="N172" s="257"/>
      <c r="O172" s="704"/>
    </row>
    <row r="173" spans="1:15" ht="22.15" customHeight="1">
      <c r="A173" s="704"/>
      <c r="B173" s="701"/>
      <c r="C173" s="699"/>
      <c r="D173" s="704"/>
      <c r="E173" s="696"/>
      <c r="F173" s="701"/>
      <c r="G173" s="699"/>
      <c r="H173" s="704"/>
      <c r="I173" s="696"/>
      <c r="L173" s="696"/>
      <c r="M173" s="1212"/>
      <c r="N173" s="257"/>
      <c r="O173" s="704"/>
    </row>
    <row r="174" spans="1:15" ht="22.15" customHeight="1">
      <c r="A174" s="704"/>
      <c r="B174" s="701"/>
      <c r="C174" s="699"/>
      <c r="D174" s="704"/>
      <c r="E174" s="696"/>
      <c r="F174" s="701"/>
      <c r="G174" s="702"/>
      <c r="H174" s="704"/>
      <c r="I174" s="696"/>
      <c r="J174" s="696"/>
      <c r="K174" s="696"/>
      <c r="L174" s="696"/>
      <c r="M174" s="1212"/>
    </row>
    <row r="175" spans="1:15" ht="22.15" customHeight="1">
      <c r="A175" s="704"/>
      <c r="B175" s="704"/>
      <c r="C175" s="696"/>
      <c r="D175" s="704"/>
      <c r="E175" s="696"/>
      <c r="F175" s="701"/>
      <c r="G175" s="699"/>
      <c r="H175" s="704"/>
      <c r="I175" s="696"/>
      <c r="J175" s="696"/>
      <c r="K175" s="738"/>
      <c r="L175" s="1625"/>
      <c r="M175" s="1212"/>
    </row>
    <row r="176" spans="1:15" ht="22.15" customHeight="1">
      <c r="A176" s="704"/>
      <c r="B176" s="701"/>
      <c r="C176" s="699"/>
      <c r="D176" s="704"/>
      <c r="E176" s="696"/>
      <c r="F176" s="701"/>
      <c r="G176" s="1177"/>
      <c r="H176" s="704"/>
      <c r="I176" s="696"/>
      <c r="J176" s="696"/>
      <c r="K176" s="738"/>
      <c r="L176" s="1625"/>
      <c r="M176" s="1212"/>
    </row>
    <row r="177" spans="1:13" ht="22.15" customHeight="1">
      <c r="A177" s="704"/>
      <c r="B177" s="701"/>
      <c r="C177" s="699"/>
      <c r="D177" s="704"/>
      <c r="E177" s="696"/>
      <c r="F177" s="701"/>
      <c r="G177" s="696"/>
      <c r="H177" s="704"/>
      <c r="I177" s="696"/>
      <c r="J177" s="696"/>
      <c r="K177" s="738"/>
      <c r="L177" s="696"/>
      <c r="M177" s="1212"/>
    </row>
    <row r="178" spans="1:13" ht="22.15" customHeight="1">
      <c r="A178" s="704"/>
      <c r="B178" s="701"/>
      <c r="C178" s="699"/>
      <c r="D178" s="704"/>
      <c r="E178" s="696"/>
      <c r="F178" s="696"/>
      <c r="G178" s="696"/>
      <c r="H178" s="696"/>
      <c r="I178" s="696"/>
      <c r="J178" s="696"/>
      <c r="K178" s="738"/>
      <c r="L178" s="696"/>
      <c r="M178" s="1212"/>
    </row>
    <row r="179" spans="1:13" ht="22.15" customHeight="1">
      <c r="A179" s="704"/>
      <c r="B179" s="704"/>
      <c r="C179" s="696"/>
      <c r="D179" s="704"/>
      <c r="E179" s="704"/>
      <c r="F179" s="696"/>
      <c r="G179" s="704"/>
      <c r="H179" s="704"/>
      <c r="I179" s="696"/>
      <c r="J179" s="704"/>
      <c r="K179" s="700"/>
      <c r="L179" s="696"/>
      <c r="M179" s="1212"/>
    </row>
    <row r="180" spans="1:13" ht="22.15" customHeight="1">
      <c r="A180" s="704"/>
      <c r="B180" s="701"/>
      <c r="C180" s="696"/>
      <c r="D180" s="704"/>
      <c r="E180" s="701"/>
      <c r="F180" s="699"/>
      <c r="G180" s="704"/>
      <c r="H180" s="701"/>
      <c r="I180" s="702"/>
      <c r="J180" s="704"/>
      <c r="K180" s="701"/>
      <c r="L180" s="699"/>
      <c r="M180" s="1212"/>
    </row>
    <row r="181" spans="1:13" ht="22.15" customHeight="1">
      <c r="A181" s="704"/>
      <c r="B181" s="704"/>
      <c r="C181" s="702"/>
      <c r="D181" s="704"/>
      <c r="E181" s="701"/>
      <c r="F181" s="719"/>
      <c r="G181" s="696"/>
      <c r="H181" s="696"/>
      <c r="I181" s="696"/>
      <c r="J181" s="696"/>
      <c r="K181" s="696"/>
      <c r="L181" s="696"/>
      <c r="M181" s="1212"/>
    </row>
    <row r="182" spans="1:13" ht="22.15" hidden="1" customHeight="1" outlineLevel="1">
      <c r="A182" s="704"/>
      <c r="B182" s="700"/>
      <c r="C182" s="696"/>
      <c r="D182" s="739"/>
      <c r="E182" s="696"/>
      <c r="F182" s="696"/>
      <c r="G182" s="696"/>
      <c r="H182" s="696"/>
      <c r="I182" s="696"/>
      <c r="J182" s="696"/>
      <c r="K182" s="696"/>
      <c r="L182" s="696"/>
      <c r="M182" s="1212"/>
    </row>
    <row r="183" spans="1:13" ht="22.15" hidden="1" customHeight="1" outlineLevel="1">
      <c r="A183" s="704"/>
      <c r="B183" s="700"/>
      <c r="C183" s="696"/>
      <c r="D183" s="719"/>
      <c r="E183" s="704"/>
      <c r="F183" s="1585"/>
      <c r="G183" s="1585"/>
      <c r="I183" s="701"/>
      <c r="J183" s="696"/>
      <c r="K183" s="696"/>
      <c r="L183" s="696"/>
      <c r="M183" s="1212"/>
    </row>
    <row r="184" spans="1:13" ht="22.15" hidden="1" customHeight="1" outlineLevel="1">
      <c r="A184" s="704"/>
      <c r="B184" s="696"/>
      <c r="C184" s="696"/>
      <c r="D184" s="719"/>
      <c r="E184" s="704"/>
      <c r="F184" s="696"/>
      <c r="G184" s="696"/>
      <c r="I184" s="1173"/>
      <c r="J184" s="1174"/>
      <c r="L184" s="1175"/>
      <c r="M184" s="1212"/>
    </row>
    <row r="185" spans="1:13" ht="22.15" hidden="1" customHeight="1" outlineLevel="1">
      <c r="A185" s="704"/>
      <c r="B185" s="696"/>
      <c r="C185" s="696"/>
      <c r="D185" s="696"/>
      <c r="E185" s="704"/>
      <c r="F185" s="696"/>
      <c r="G185" s="696"/>
      <c r="H185" s="696"/>
      <c r="I185" s="701"/>
      <c r="J185" s="733"/>
      <c r="K185" s="696"/>
      <c r="L185" s="696"/>
      <c r="M185" s="1212"/>
    </row>
    <row r="186" spans="1:13" ht="22.15" hidden="1" customHeight="1" outlineLevel="1">
      <c r="A186" s="704"/>
      <c r="B186" s="696"/>
      <c r="C186" s="696"/>
      <c r="D186" s="696"/>
      <c r="E186" s="704"/>
      <c r="F186" s="696"/>
      <c r="G186" s="696"/>
      <c r="H186" s="704"/>
      <c r="J186" s="696"/>
      <c r="K186" s="704"/>
      <c r="L186" s="696"/>
      <c r="M186" s="1212"/>
    </row>
    <row r="187" spans="1:13" ht="22.15" hidden="1" customHeight="1" outlineLevel="1">
      <c r="A187" s="704"/>
      <c r="B187" s="696"/>
      <c r="C187" s="696"/>
      <c r="D187" s="696"/>
      <c r="E187" s="704"/>
      <c r="F187" s="696"/>
      <c r="G187" s="696"/>
      <c r="H187" s="704"/>
      <c r="J187" s="696"/>
      <c r="K187" s="704"/>
      <c r="L187" s="696"/>
      <c r="M187" s="1212"/>
    </row>
    <row r="188" spans="1:13" ht="22.15" hidden="1" customHeight="1" outlineLevel="1">
      <c r="A188" s="700"/>
      <c r="B188" s="700"/>
      <c r="C188" s="700"/>
      <c r="D188" s="696"/>
      <c r="E188" s="701"/>
      <c r="F188" s="699"/>
      <c r="G188" s="704"/>
      <c r="H188" s="704"/>
      <c r="I188" s="696"/>
      <c r="J188" s="716"/>
      <c r="K188" s="718"/>
      <c r="L188" s="740"/>
      <c r="M188" s="1212"/>
    </row>
    <row r="189" spans="1:13" ht="22.15" hidden="1" customHeight="1" outlineLevel="1">
      <c r="A189" s="704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1212"/>
    </row>
    <row r="190" spans="1:13" ht="22.15" customHeight="1" collapsed="1">
      <c r="A190" s="704"/>
      <c r="B190" s="700"/>
      <c r="C190" s="700"/>
      <c r="D190" s="701"/>
      <c r="E190" s="702"/>
      <c r="F190" s="704"/>
      <c r="G190" s="704"/>
      <c r="H190" s="696"/>
      <c r="I190" s="696"/>
      <c r="J190" s="696"/>
      <c r="K190" s="696"/>
      <c r="L190" s="696"/>
      <c r="M190" s="1212"/>
    </row>
    <row r="191" spans="1:13" ht="22.15" customHeight="1">
      <c r="A191" s="704"/>
      <c r="B191" s="696"/>
      <c r="C191" s="696"/>
      <c r="D191" s="701"/>
      <c r="E191" s="702"/>
      <c r="F191" s="704"/>
      <c r="G191" s="704"/>
      <c r="H191" s="696"/>
      <c r="I191" s="696"/>
      <c r="J191" s="696"/>
      <c r="K191" s="696"/>
      <c r="L191" s="696"/>
      <c r="M191" s="1212"/>
    </row>
    <row r="192" spans="1:13" ht="22.15" customHeight="1">
      <c r="A192" s="704"/>
      <c r="B192" s="700"/>
      <c r="C192" s="700"/>
      <c r="D192" s="701"/>
      <c r="E192" s="719"/>
      <c r="F192" s="704"/>
      <c r="G192" s="696"/>
      <c r="H192" s="702"/>
      <c r="I192" s="696"/>
      <c r="J192" s="696"/>
      <c r="K192" s="696"/>
      <c r="L192" s="696"/>
      <c r="M192" s="1212"/>
    </row>
    <row r="193" spans="1:18" ht="22.15" customHeight="1">
      <c r="A193" s="704"/>
      <c r="B193" s="696"/>
      <c r="C193" s="696"/>
      <c r="D193" s="696"/>
      <c r="E193" s="702"/>
      <c r="F193" s="704"/>
      <c r="G193" s="718"/>
      <c r="H193" s="696"/>
      <c r="I193" s="696"/>
      <c r="J193" s="696"/>
      <c r="K193" s="696"/>
      <c r="L193" s="696"/>
      <c r="M193" s="1212"/>
    </row>
    <row r="194" spans="1:18" ht="22.15" customHeight="1">
      <c r="A194" s="704"/>
      <c r="B194" s="696"/>
      <c r="C194" s="718"/>
      <c r="D194" s="704"/>
      <c r="E194" s="702"/>
      <c r="F194" s="696"/>
      <c r="G194" s="741"/>
      <c r="H194" s="702"/>
      <c r="I194" s="696"/>
      <c r="J194" s="696"/>
      <c r="K194" s="696"/>
      <c r="L194" s="696"/>
      <c r="M194" s="1212"/>
    </row>
    <row r="195" spans="1:18" ht="22.15" customHeight="1">
      <c r="A195" s="696"/>
      <c r="B195" s="707"/>
      <c r="C195" s="718"/>
      <c r="D195" s="696"/>
      <c r="E195" s="702"/>
      <c r="F195" s="696"/>
      <c r="G195" s="696"/>
      <c r="H195" s="702"/>
      <c r="I195" s="696"/>
      <c r="J195" s="696"/>
      <c r="K195" s="408"/>
      <c r="L195" s="718"/>
      <c r="M195" s="1212"/>
      <c r="N195" s="257"/>
      <c r="Q195" s="257"/>
      <c r="R195" s="257"/>
    </row>
    <row r="196" spans="1:18" ht="22.15" customHeight="1">
      <c r="A196" s="704"/>
      <c r="B196" s="696"/>
      <c r="C196" s="696"/>
      <c r="D196" s="704"/>
      <c r="E196" s="702"/>
      <c r="F196" s="696"/>
      <c r="G196" s="696"/>
      <c r="H196" s="702"/>
      <c r="I196" s="696"/>
      <c r="J196" s="696"/>
      <c r="K196" s="696"/>
      <c r="L196" s="696"/>
      <c r="M196" s="1212"/>
      <c r="N196" s="257"/>
      <c r="Q196" s="257"/>
      <c r="R196" s="257"/>
    </row>
    <row r="197" spans="1:18" ht="22.15" customHeight="1">
      <c r="A197" s="704"/>
      <c r="B197" s="696"/>
      <c r="C197" s="696"/>
      <c r="D197" s="696"/>
      <c r="E197" s="702"/>
      <c r="F197" s="696"/>
      <c r="G197" s="696"/>
      <c r="H197" s="702"/>
      <c r="I197" s="696"/>
      <c r="K197" s="758"/>
      <c r="L197" s="696"/>
      <c r="M197" s="1212"/>
      <c r="N197" s="257"/>
      <c r="Q197" s="257"/>
      <c r="R197" s="257"/>
    </row>
    <row r="198" spans="1:18" ht="19.899999999999999" hidden="1" customHeight="1">
      <c r="A198" s="704"/>
      <c r="B198" s="742"/>
      <c r="C198" s="743"/>
      <c r="D198" s="744"/>
      <c r="E198" s="745"/>
      <c r="F198" s="742"/>
      <c r="G198" s="746"/>
      <c r="H198" s="744"/>
      <c r="I198" s="696"/>
      <c r="J198" s="696"/>
      <c r="K198" s="696"/>
      <c r="L198" s="718"/>
      <c r="M198" s="430"/>
      <c r="N198" s="431"/>
      <c r="P198" s="257"/>
      <c r="Q198" s="430"/>
      <c r="R198" s="430"/>
    </row>
    <row r="199" spans="1:18" ht="19.899999999999999" hidden="1" customHeight="1">
      <c r="A199" s="704"/>
      <c r="B199" s="747"/>
      <c r="C199" s="748"/>
      <c r="D199" s="749"/>
      <c r="E199" s="750"/>
      <c r="F199" s="749"/>
      <c r="G199" s="749"/>
      <c r="H199" s="750"/>
      <c r="I199" s="696"/>
      <c r="J199" s="696"/>
      <c r="K199" s="408"/>
      <c r="L199" s="718"/>
      <c r="N199" s="257"/>
      <c r="Q199" s="257"/>
      <c r="R199" s="257"/>
    </row>
    <row r="200" spans="1:18" ht="19.899999999999999" hidden="1" customHeight="1">
      <c r="A200" s="704"/>
      <c r="B200" s="749"/>
      <c r="C200" s="749"/>
      <c r="D200" s="749"/>
      <c r="E200" s="750"/>
      <c r="F200" s="749"/>
      <c r="G200" s="749"/>
      <c r="H200" s="750"/>
      <c r="I200" s="696"/>
      <c r="J200" s="696"/>
      <c r="K200" s="696"/>
      <c r="L200" s="696"/>
      <c r="N200" s="257"/>
      <c r="Q200" s="257"/>
      <c r="R200" s="257"/>
    </row>
    <row r="201" spans="1:18" ht="19.899999999999999" hidden="1" customHeight="1">
      <c r="A201" s="704"/>
      <c r="B201" s="749"/>
      <c r="C201" s="749"/>
      <c r="D201" s="696"/>
      <c r="E201" s="750"/>
      <c r="F201" s="749"/>
      <c r="G201" s="749"/>
      <c r="H201" s="750"/>
      <c r="I201" s="696"/>
      <c r="J201" s="696"/>
      <c r="K201" s="696"/>
      <c r="L201" s="696"/>
      <c r="N201" s="257"/>
      <c r="Q201" s="257"/>
      <c r="R201" s="257"/>
    </row>
    <row r="202" spans="1:18" ht="19.899999999999999" hidden="1" customHeight="1">
      <c r="A202" s="704"/>
      <c r="B202" s="749"/>
      <c r="C202" s="749"/>
      <c r="D202" s="749"/>
      <c r="E202" s="750"/>
      <c r="F202" s="749"/>
      <c r="G202" s="749"/>
      <c r="H202" s="750"/>
      <c r="I202" s="696"/>
      <c r="J202" s="696"/>
      <c r="K202" s="696"/>
      <c r="L202" s="696"/>
      <c r="N202" s="257"/>
      <c r="Q202" s="257"/>
      <c r="R202" s="257"/>
    </row>
    <row r="203" spans="1:18" ht="19.899999999999999" hidden="1" customHeight="1">
      <c r="A203" s="704"/>
      <c r="B203" s="749"/>
      <c r="C203" s="749"/>
      <c r="D203" s="751"/>
      <c r="E203" s="750"/>
      <c r="F203" s="749"/>
      <c r="G203" s="749"/>
      <c r="H203" s="750"/>
      <c r="I203" s="696"/>
      <c r="J203" s="696"/>
      <c r="K203" s="696"/>
      <c r="L203" s="696"/>
      <c r="M203" s="370"/>
      <c r="N203" s="257"/>
      <c r="Q203" s="257"/>
      <c r="R203" s="257"/>
    </row>
    <row r="204" spans="1:18" ht="19.899999999999999" hidden="1" customHeight="1">
      <c r="A204" s="704"/>
      <c r="B204" s="749"/>
      <c r="C204" s="749"/>
      <c r="D204" s="751"/>
      <c r="E204" s="750"/>
      <c r="F204" s="749"/>
      <c r="G204" s="750"/>
      <c r="H204" s="752"/>
      <c r="I204" s="696"/>
      <c r="J204" s="696"/>
      <c r="K204" s="696"/>
      <c r="L204" s="696"/>
      <c r="M204" s="370"/>
      <c r="N204" s="257"/>
      <c r="P204" s="257"/>
      <c r="Q204" s="430"/>
      <c r="R204" s="430"/>
    </row>
    <row r="205" spans="1:18" ht="19.899999999999999" hidden="1" customHeight="1">
      <c r="A205" s="704"/>
      <c r="B205" s="749"/>
      <c r="C205" s="749"/>
      <c r="D205" s="748"/>
      <c r="E205" s="748"/>
      <c r="F205" s="749"/>
      <c r="G205" s="750"/>
      <c r="H205" s="752"/>
      <c r="I205" s="696"/>
      <c r="J205" s="696"/>
      <c r="K205" s="696"/>
      <c r="L205" s="696"/>
      <c r="M205" s="429"/>
      <c r="N205" s="429"/>
      <c r="P205" s="257"/>
      <c r="Q205" s="430"/>
      <c r="R205" s="430"/>
    </row>
    <row r="206" spans="1:18" ht="19.899999999999999" hidden="1" customHeight="1">
      <c r="A206" s="704"/>
      <c r="B206" s="749"/>
      <c r="C206" s="749"/>
      <c r="D206" s="753"/>
      <c r="E206" s="750"/>
      <c r="F206" s="749"/>
      <c r="G206" s="750"/>
      <c r="H206" s="752"/>
      <c r="I206" s="696"/>
      <c r="J206" s="696"/>
      <c r="K206" s="696"/>
      <c r="L206" s="696"/>
      <c r="M206" s="432"/>
      <c r="N206" s="257"/>
      <c r="P206" s="257"/>
      <c r="Q206" s="430"/>
      <c r="R206" s="430"/>
    </row>
    <row r="207" spans="1:18" ht="19.899999999999999" hidden="1" customHeight="1">
      <c r="A207" s="704"/>
      <c r="B207" s="749"/>
      <c r="C207" s="1651"/>
      <c r="D207" s="1652"/>
      <c r="E207" s="1652"/>
      <c r="F207" s="749"/>
      <c r="G207" s="750"/>
      <c r="H207" s="752"/>
      <c r="I207" s="696"/>
      <c r="J207" s="696"/>
      <c r="K207" s="696"/>
      <c r="L207" s="1586"/>
      <c r="M207" s="1598"/>
      <c r="N207" s="1598"/>
      <c r="P207" s="257"/>
      <c r="Q207" s="430"/>
      <c r="R207" s="430"/>
    </row>
    <row r="208" spans="1:18" ht="19.899999999999999" hidden="1" customHeight="1">
      <c r="A208" s="704"/>
      <c r="B208" s="749"/>
      <c r="C208" s="1651"/>
      <c r="D208" s="1619"/>
      <c r="E208" s="1619"/>
      <c r="F208" s="749"/>
      <c r="G208" s="750"/>
      <c r="H208" s="752"/>
      <c r="I208" s="696"/>
      <c r="J208" s="696"/>
      <c r="K208" s="696"/>
      <c r="L208" s="1586"/>
      <c r="M208" s="1598"/>
      <c r="N208" s="1598"/>
      <c r="P208" s="257"/>
      <c r="Q208" s="430"/>
      <c r="R208" s="430"/>
    </row>
    <row r="209" spans="1:18" ht="19.899999999999999" hidden="1" customHeight="1">
      <c r="A209" s="704"/>
      <c r="B209" s="749"/>
      <c r="C209" s="749"/>
      <c r="D209" s="754"/>
      <c r="E209" s="749"/>
      <c r="F209" s="750"/>
      <c r="G209" s="750"/>
      <c r="H209" s="750"/>
      <c r="I209" s="696"/>
      <c r="J209" s="696"/>
      <c r="K209" s="696"/>
      <c r="L209" s="696"/>
      <c r="M209" s="370"/>
      <c r="O209" s="257"/>
      <c r="P209" s="257"/>
      <c r="Q209" s="257"/>
      <c r="R209" s="257"/>
    </row>
    <row r="210" spans="1:18" ht="19.899999999999999" hidden="1" customHeight="1">
      <c r="A210" s="704"/>
      <c r="B210" s="749"/>
      <c r="C210" s="748"/>
      <c r="D210" s="752"/>
      <c r="E210" s="755"/>
      <c r="F210" s="749"/>
      <c r="G210" s="750"/>
      <c r="H210" s="752"/>
      <c r="I210" s="696"/>
      <c r="J210" s="696"/>
      <c r="K210" s="696"/>
      <c r="L210" s="718"/>
      <c r="M210" s="430"/>
      <c r="N210" s="431"/>
      <c r="P210" s="257"/>
      <c r="Q210" s="430"/>
      <c r="R210" s="430"/>
    </row>
    <row r="211" spans="1:18" ht="19.899999999999999" hidden="1" customHeight="1">
      <c r="A211" s="704"/>
      <c r="B211" s="749"/>
      <c r="C211" s="748"/>
      <c r="D211" s="752"/>
      <c r="E211" s="755"/>
      <c r="F211" s="749"/>
      <c r="G211" s="750"/>
      <c r="H211" s="752"/>
      <c r="I211" s="696"/>
      <c r="J211" s="696"/>
      <c r="K211" s="696"/>
      <c r="L211" s="718"/>
      <c r="M211" s="430"/>
      <c r="N211" s="431"/>
      <c r="P211" s="257"/>
      <c r="Q211" s="430"/>
      <c r="R211" s="430"/>
    </row>
    <row r="212" spans="1:18" ht="19.899999999999999" hidden="1" customHeight="1">
      <c r="A212" s="704"/>
      <c r="B212" s="749"/>
      <c r="C212" s="748"/>
      <c r="D212" s="752"/>
      <c r="E212" s="755"/>
      <c r="F212" s="749"/>
      <c r="G212" s="750"/>
      <c r="H212" s="752"/>
      <c r="I212" s="696"/>
      <c r="J212" s="696"/>
      <c r="K212" s="696"/>
      <c r="L212" s="718"/>
      <c r="M212" s="430"/>
      <c r="N212" s="431"/>
      <c r="P212" s="257"/>
      <c r="Q212" s="430"/>
      <c r="R212" s="430"/>
    </row>
    <row r="213" spans="1:18" ht="19.899999999999999" hidden="1" customHeight="1">
      <c r="A213" s="704"/>
      <c r="B213" s="749"/>
      <c r="C213" s="748"/>
      <c r="D213" s="752"/>
      <c r="E213" s="755"/>
      <c r="F213" s="749"/>
      <c r="G213" s="750"/>
      <c r="H213" s="752"/>
      <c r="I213" s="696"/>
      <c r="J213" s="696"/>
      <c r="K213" s="696"/>
      <c r="L213" s="718"/>
      <c r="M213" s="430"/>
      <c r="N213" s="431"/>
      <c r="P213" s="257"/>
      <c r="Q213" s="430"/>
      <c r="R213" s="430"/>
    </row>
    <row r="214" spans="1:18" ht="19.899999999999999" hidden="1" customHeight="1">
      <c r="A214" s="704"/>
      <c r="B214" s="749"/>
      <c r="C214" s="748"/>
      <c r="D214" s="752"/>
      <c r="E214" s="755"/>
      <c r="F214" s="749"/>
      <c r="G214" s="750"/>
      <c r="H214" s="752"/>
      <c r="I214" s="696"/>
      <c r="J214" s="696"/>
      <c r="K214" s="696"/>
      <c r="L214" s="718"/>
      <c r="M214" s="430"/>
      <c r="N214" s="431"/>
      <c r="P214" s="257"/>
      <c r="Q214" s="430"/>
      <c r="R214" s="430"/>
    </row>
    <row r="215" spans="1:18" ht="22.15" customHeight="1">
      <c r="A215" s="704"/>
      <c r="B215" s="695"/>
      <c r="C215" s="696"/>
      <c r="D215" s="696"/>
      <c r="E215" s="696"/>
      <c r="F215" s="696"/>
      <c r="G215" s="696"/>
      <c r="H215" s="696"/>
      <c r="I215" s="696"/>
      <c r="J215" s="696"/>
      <c r="K215" s="708"/>
      <c r="L215" s="696"/>
    </row>
    <row r="216" spans="1:18" ht="22.15" customHeight="1">
      <c r="A216" s="704"/>
      <c r="B216" s="757"/>
      <c r="C216" s="696"/>
      <c r="D216" s="696"/>
      <c r="E216" s="696"/>
      <c r="F216" s="696"/>
      <c r="G216" s="696"/>
      <c r="H216" s="696"/>
      <c r="I216" s="696"/>
    </row>
    <row r="217" spans="1:18" ht="22.15" customHeight="1">
      <c r="A217" s="704"/>
      <c r="B217" s="696"/>
      <c r="C217" s="702"/>
      <c r="D217" s="696"/>
      <c r="E217" s="696"/>
      <c r="F217" s="696"/>
      <c r="G217" s="696"/>
      <c r="H217" s="696"/>
      <c r="J217" s="704"/>
      <c r="K217" s="696"/>
      <c r="L217" s="696"/>
    </row>
    <row r="218" spans="1:18" ht="22.15" customHeight="1">
      <c r="A218" s="704"/>
      <c r="B218" s="696"/>
      <c r="C218" s="702"/>
      <c r="D218" s="696"/>
      <c r="E218" s="696"/>
      <c r="F218" s="696"/>
      <c r="G218" s="696"/>
      <c r="H218" s="696"/>
      <c r="I218" s="696"/>
      <c r="K218" s="1630"/>
      <c r="L218" s="696"/>
    </row>
    <row r="219" spans="1:18" ht="22.15" customHeight="1">
      <c r="A219" s="704"/>
      <c r="B219" s="704"/>
      <c r="C219" s="696"/>
      <c r="D219" s="696"/>
      <c r="E219" s="696"/>
      <c r="F219" s="696"/>
      <c r="G219" s="696"/>
      <c r="H219" s="696"/>
      <c r="I219" s="696"/>
      <c r="K219" s="1630"/>
      <c r="L219" s="696"/>
    </row>
    <row r="220" spans="1:18" ht="22.15" customHeight="1">
      <c r="A220" s="704"/>
      <c r="B220" s="696"/>
      <c r="C220" s="728"/>
      <c r="D220" s="696"/>
      <c r="E220" s="696"/>
      <c r="F220" s="696"/>
      <c r="G220" s="696"/>
      <c r="K220" s="1630"/>
      <c r="L220" s="696"/>
    </row>
    <row r="221" spans="1:18" ht="22.15" customHeight="1">
      <c r="A221" s="704"/>
      <c r="B221" s="704"/>
      <c r="C221" s="696"/>
      <c r="D221" s="699"/>
      <c r="E221" s="696"/>
      <c r="F221" s="696"/>
      <c r="G221" s="696"/>
      <c r="H221" s="696"/>
      <c r="I221" s="696"/>
      <c r="K221" s="1630"/>
      <c r="L221" s="696"/>
    </row>
    <row r="222" spans="1:18" ht="22.15" customHeight="1">
      <c r="A222" s="704"/>
      <c r="B222" s="696"/>
      <c r="C222" s="696"/>
      <c r="D222" s="696"/>
      <c r="E222" s="696"/>
      <c r="F222" s="696"/>
      <c r="G222" s="696"/>
      <c r="H222" s="696"/>
      <c r="I222" s="696"/>
      <c r="K222" s="1630"/>
      <c r="L222" s="696"/>
    </row>
    <row r="223" spans="1:18" ht="22.15" customHeight="1">
      <c r="A223" s="704"/>
      <c r="B223" s="696"/>
      <c r="C223" s="718"/>
      <c r="D223" s="704"/>
      <c r="E223" s="696"/>
      <c r="F223" s="696"/>
      <c r="G223" s="696"/>
      <c r="H223" s="696"/>
      <c r="J223" s="1586"/>
      <c r="K223" s="1586"/>
      <c r="L223" s="696"/>
    </row>
    <row r="224" spans="1:18" ht="19.899999999999999" hidden="1" customHeight="1">
      <c r="A224" s="704"/>
      <c r="B224" s="696"/>
      <c r="C224" s="696"/>
      <c r="D224" s="696"/>
      <c r="E224" s="696"/>
      <c r="F224" s="696"/>
      <c r="G224" s="696"/>
      <c r="H224" s="696"/>
      <c r="I224" s="696"/>
      <c r="J224" s="696"/>
      <c r="K224" s="696"/>
      <c r="L224" s="696"/>
    </row>
    <row r="225" spans="1:13" ht="22.15" customHeight="1">
      <c r="A225" s="704"/>
      <c r="B225" s="707"/>
      <c r="C225" s="696"/>
      <c r="D225" s="696"/>
      <c r="E225" s="696"/>
      <c r="F225" s="696"/>
      <c r="G225" s="707"/>
      <c r="H225" s="696"/>
      <c r="I225" s="696"/>
      <c r="J225" s="696"/>
      <c r="K225" s="696"/>
      <c r="L225" s="696"/>
    </row>
    <row r="226" spans="1:13" ht="22.15" customHeight="1">
      <c r="A226" s="704"/>
      <c r="B226" s="701"/>
      <c r="C226" s="699"/>
      <c r="D226" s="704"/>
      <c r="E226" s="704"/>
      <c r="F226" s="696"/>
      <c r="G226" s="701"/>
      <c r="H226" s="699"/>
      <c r="I226" s="704"/>
      <c r="J226" s="1585"/>
      <c r="K226" s="1585"/>
      <c r="L226" s="696"/>
    </row>
    <row r="227" spans="1:13" ht="22.15" customHeight="1">
      <c r="A227" s="704"/>
      <c r="B227" s="701"/>
      <c r="C227" s="699"/>
      <c r="D227" s="704"/>
      <c r="E227" s="704"/>
      <c r="F227" s="696"/>
      <c r="G227" s="701"/>
      <c r="H227" s="699"/>
      <c r="I227" s="704"/>
      <c r="J227" s="1585"/>
      <c r="K227" s="1585"/>
      <c r="L227" s="696"/>
    </row>
    <row r="228" spans="1:13" ht="22.15" customHeight="1">
      <c r="A228" s="704"/>
      <c r="B228" s="1626"/>
      <c r="C228" s="756"/>
      <c r="D228" s="1586"/>
      <c r="E228" s="1587"/>
      <c r="F228" s="1585"/>
      <c r="G228" s="1626"/>
      <c r="H228" s="756"/>
      <c r="I228" s="1586"/>
      <c r="J228" s="1587"/>
      <c r="K228" s="1585"/>
      <c r="L228" s="696"/>
    </row>
    <row r="229" spans="1:13" ht="22.15" customHeight="1">
      <c r="A229" s="704"/>
      <c r="B229" s="1626"/>
      <c r="C229" s="696"/>
      <c r="D229" s="1586"/>
      <c r="E229" s="1587"/>
      <c r="F229" s="1585"/>
      <c r="G229" s="1626"/>
      <c r="H229" s="696"/>
      <c r="I229" s="1586"/>
      <c r="J229" s="1587"/>
      <c r="K229" s="1585"/>
      <c r="L229" s="696"/>
    </row>
    <row r="230" spans="1:13" ht="22.15" customHeight="1">
      <c r="A230" s="704"/>
      <c r="B230" s="1626"/>
      <c r="C230" s="756"/>
      <c r="D230" s="1586"/>
      <c r="E230" s="1587"/>
      <c r="F230" s="1585"/>
      <c r="G230" s="734"/>
      <c r="H230" s="734"/>
      <c r="I230" s="734"/>
      <c r="J230" s="734"/>
      <c r="K230" s="696"/>
      <c r="L230" s="696"/>
    </row>
    <row r="231" spans="1:13" ht="22.15" customHeight="1">
      <c r="A231" s="704"/>
      <c r="B231" s="1626"/>
      <c r="C231" s="696"/>
      <c r="D231" s="1586"/>
      <c r="E231" s="1587"/>
      <c r="F231" s="1585"/>
      <c r="G231" s="734"/>
      <c r="H231" s="734"/>
      <c r="I231" s="734"/>
      <c r="J231" s="734"/>
      <c r="K231" s="696"/>
      <c r="L231" s="696"/>
      <c r="M231" s="1212"/>
    </row>
    <row r="232" spans="1:13" ht="22.15" customHeight="1">
      <c r="A232" s="1626"/>
      <c r="B232" s="1626"/>
      <c r="C232" s="735"/>
      <c r="D232" s="696"/>
      <c r="E232" s="711"/>
      <c r="F232" s="718"/>
      <c r="G232" s="699"/>
      <c r="H232" s="704"/>
      <c r="I232" s="696"/>
      <c r="J232" s="696"/>
      <c r="K232" s="696"/>
      <c r="L232" s="696"/>
      <c r="M232" s="1212"/>
    </row>
    <row r="233" spans="1:13" ht="22.15" customHeight="1">
      <c r="A233" s="1626"/>
      <c r="B233" s="1626"/>
      <c r="C233" s="696"/>
      <c r="D233" s="696"/>
      <c r="E233" s="704"/>
      <c r="F233" s="699"/>
      <c r="G233" s="696"/>
      <c r="H233" s="696"/>
      <c r="I233" s="696"/>
      <c r="J233" s="696"/>
      <c r="K233" s="696"/>
      <c r="L233" s="696"/>
      <c r="M233" s="1212"/>
    </row>
    <row r="234" spans="1:13" ht="22.15" customHeight="1">
      <c r="A234" s="713"/>
      <c r="B234" s="696"/>
      <c r="C234" s="696"/>
      <c r="D234" s="696"/>
      <c r="E234" s="696"/>
      <c r="F234" s="700"/>
      <c r="G234" s="696"/>
      <c r="H234" s="696"/>
      <c r="I234" s="696"/>
      <c r="J234" s="696"/>
      <c r="K234" s="696"/>
      <c r="L234" s="696"/>
      <c r="M234" s="1212"/>
    </row>
    <row r="235" spans="1:13" ht="22.15" customHeight="1">
      <c r="A235" s="704"/>
      <c r="B235" s="700"/>
      <c r="C235" s="702"/>
      <c r="D235" s="696"/>
      <c r="E235" s="696"/>
      <c r="F235" s="696"/>
      <c r="G235" s="696"/>
      <c r="H235" s="696"/>
      <c r="I235" s="696"/>
      <c r="J235" s="696"/>
      <c r="K235" s="696"/>
      <c r="L235" s="696"/>
      <c r="M235" s="1212"/>
    </row>
    <row r="236" spans="1:13" ht="22.15" customHeight="1">
      <c r="A236" s="704"/>
      <c r="B236" s="704"/>
      <c r="C236" s="696"/>
      <c r="D236" s="696"/>
      <c r="E236" s="696"/>
      <c r="G236" s="702"/>
      <c r="H236" s="696"/>
      <c r="K236" s="696"/>
      <c r="L236" s="696"/>
      <c r="M236" s="1212"/>
    </row>
    <row r="237" spans="1:13" ht="19.899999999999999" customHeight="1">
      <c r="A237" s="704"/>
      <c r="B237" s="704"/>
      <c r="C237" s="704"/>
      <c r="D237" s="696"/>
      <c r="E237" s="696"/>
      <c r="F237" s="696"/>
      <c r="G237" s="696"/>
      <c r="H237" s="696"/>
      <c r="I237" s="696"/>
      <c r="J237" s="696"/>
      <c r="K237" s="696"/>
      <c r="L237" s="696"/>
      <c r="M237" s="1212"/>
    </row>
    <row r="238" spans="1:13" ht="19.899999999999999" hidden="1" customHeight="1">
      <c r="A238" s="691"/>
      <c r="B238" s="693"/>
      <c r="C238" s="692"/>
      <c r="D238" s="692"/>
      <c r="E238" s="692"/>
      <c r="F238" s="692"/>
      <c r="G238" s="692"/>
      <c r="H238" s="692"/>
      <c r="I238" s="692"/>
      <c r="J238" s="692"/>
      <c r="K238" s="692"/>
      <c r="L238" s="692"/>
      <c r="M238" s="1212"/>
    </row>
    <row r="239" spans="1:13" ht="19.899999999999999" hidden="1" customHeight="1">
      <c r="A239" s="691"/>
      <c r="B239" s="692"/>
      <c r="C239" s="692"/>
      <c r="D239" s="692"/>
      <c r="E239" s="694"/>
      <c r="F239" s="692"/>
      <c r="G239" s="692"/>
      <c r="H239" s="692"/>
      <c r="I239" s="692"/>
      <c r="J239" s="692"/>
      <c r="K239" s="692"/>
      <c r="L239" s="692"/>
      <c r="M239" s="1212"/>
    </row>
    <row r="240" spans="1:13" ht="19.899999999999999" customHeight="1">
      <c r="A240" s="691"/>
      <c r="B240" s="692"/>
      <c r="C240" s="692"/>
      <c r="D240" s="692"/>
      <c r="E240" s="692"/>
      <c r="F240" s="692"/>
      <c r="G240" s="692"/>
      <c r="H240" s="692"/>
      <c r="I240" s="692"/>
      <c r="J240" s="692"/>
      <c r="K240" s="692"/>
      <c r="L240" s="692"/>
      <c r="M240" s="1212"/>
    </row>
    <row r="241" spans="1:22" ht="19.899999999999999" customHeight="1">
      <c r="I241" s="400"/>
    </row>
    <row r="242" spans="1:22" ht="19.899999999999999" customHeight="1">
      <c r="A242" s="666"/>
      <c r="B242" s="433"/>
      <c r="C242" s="433"/>
      <c r="D242" s="433"/>
      <c r="E242" s="433"/>
      <c r="F242" s="433"/>
      <c r="G242" s="433"/>
      <c r="H242" s="433"/>
      <c r="I242" s="433"/>
      <c r="J242" s="433"/>
      <c r="K242" s="433"/>
      <c r="L242" s="433"/>
      <c r="M242" s="433"/>
      <c r="N242" s="433"/>
      <c r="O242" s="433"/>
      <c r="P242" s="433"/>
      <c r="Q242" s="433"/>
      <c r="R242" s="433"/>
      <c r="S242" s="433"/>
      <c r="T242" s="433"/>
      <c r="U242" s="433"/>
      <c r="V242" s="433"/>
    </row>
    <row r="243" spans="1:22" ht="19.899999999999999" customHeight="1">
      <c r="A243" s="666"/>
      <c r="B243" s="433"/>
      <c r="C243" s="433"/>
      <c r="D243" s="433"/>
      <c r="E243" s="433"/>
      <c r="F243" s="433"/>
      <c r="G243" s="433"/>
      <c r="H243" s="433"/>
      <c r="I243" s="433"/>
      <c r="J243" s="433"/>
      <c r="K243" s="433"/>
      <c r="L243" s="433"/>
      <c r="M243" s="433"/>
      <c r="N243" s="433"/>
      <c r="O243" s="433"/>
      <c r="P243" s="433"/>
      <c r="Q243" s="433"/>
      <c r="R243" s="433"/>
      <c r="S243" s="433"/>
      <c r="T243" s="433"/>
      <c r="U243" s="433"/>
      <c r="V243" s="433"/>
    </row>
    <row r="244" spans="1:22" ht="19.899999999999999" customHeight="1">
      <c r="A244" s="666"/>
      <c r="B244" s="433"/>
      <c r="C244" s="433"/>
      <c r="D244" s="433"/>
      <c r="E244" s="433"/>
      <c r="F244" s="433"/>
      <c r="G244" s="433"/>
      <c r="H244" s="433"/>
      <c r="I244" s="433"/>
      <c r="J244" s="433"/>
      <c r="K244" s="433"/>
      <c r="L244" s="433"/>
      <c r="M244" s="433"/>
      <c r="N244" s="433"/>
      <c r="O244" s="433"/>
      <c r="P244" s="433"/>
      <c r="Q244" s="433"/>
      <c r="R244" s="433"/>
      <c r="S244" s="433"/>
      <c r="T244" s="433"/>
      <c r="U244" s="433"/>
      <c r="V244" s="433"/>
    </row>
    <row r="245" spans="1:22" ht="19.899999999999999" customHeight="1">
      <c r="A245" s="666"/>
      <c r="B245" s="433"/>
      <c r="C245" s="433"/>
      <c r="D245" s="433"/>
      <c r="E245" s="433"/>
      <c r="F245" s="433"/>
      <c r="G245" s="433"/>
      <c r="H245" s="433"/>
      <c r="I245" s="433"/>
      <c r="J245" s="433"/>
      <c r="K245" s="433"/>
      <c r="L245" s="433"/>
      <c r="M245" s="433"/>
      <c r="N245" s="433"/>
      <c r="O245" s="433"/>
      <c r="P245" s="433"/>
      <c r="Q245" s="433"/>
      <c r="R245" s="433"/>
      <c r="S245" s="433"/>
      <c r="T245" s="433"/>
      <c r="U245" s="433"/>
      <c r="V245" s="433"/>
    </row>
    <row r="246" spans="1:22" ht="19.899999999999999" customHeight="1">
      <c r="A246" s="666"/>
      <c r="B246" s="433"/>
      <c r="C246" s="433"/>
      <c r="D246" s="433"/>
      <c r="E246" s="433"/>
      <c r="F246" s="433"/>
      <c r="G246" s="433"/>
      <c r="H246" s="433"/>
      <c r="I246" s="433"/>
      <c r="J246" s="433"/>
      <c r="K246" s="433"/>
      <c r="L246" s="433"/>
      <c r="M246" s="433"/>
      <c r="N246" s="433"/>
      <c r="O246" s="433"/>
      <c r="P246" s="433"/>
      <c r="Q246" s="433"/>
      <c r="R246" s="433"/>
      <c r="S246" s="433"/>
      <c r="T246" s="433"/>
      <c r="U246" s="433"/>
      <c r="V246" s="433"/>
    </row>
    <row r="247" spans="1:22" ht="19.899999999999999" customHeight="1">
      <c r="A247" s="666"/>
      <c r="B247" s="433"/>
      <c r="C247" s="433"/>
      <c r="D247" s="433"/>
      <c r="E247" s="433"/>
      <c r="F247" s="433"/>
      <c r="G247" s="433"/>
      <c r="H247" s="433"/>
      <c r="I247" s="433"/>
      <c r="J247" s="433"/>
      <c r="K247" s="433"/>
      <c r="L247" s="433"/>
      <c r="M247" s="433"/>
      <c r="N247" s="433"/>
      <c r="O247" s="433"/>
      <c r="P247" s="433"/>
      <c r="Q247" s="433"/>
      <c r="R247" s="433"/>
      <c r="S247" s="433"/>
      <c r="T247" s="433"/>
      <c r="U247" s="433"/>
      <c r="V247" s="433"/>
    </row>
    <row r="248" spans="1:22" ht="19.899999999999999" customHeight="1">
      <c r="A248" s="666"/>
      <c r="B248" s="433"/>
      <c r="C248" s="433"/>
      <c r="D248" s="433"/>
      <c r="E248" s="433"/>
      <c r="F248" s="433"/>
      <c r="G248" s="433"/>
      <c r="H248" s="433"/>
      <c r="I248" s="433"/>
      <c r="J248" s="433"/>
      <c r="K248" s="433"/>
      <c r="L248" s="433"/>
      <c r="M248" s="433"/>
      <c r="N248" s="433"/>
      <c r="O248" s="433"/>
      <c r="P248" s="433"/>
      <c r="Q248" s="433"/>
      <c r="R248" s="433"/>
      <c r="S248" s="433"/>
      <c r="T248" s="433"/>
      <c r="U248" s="433"/>
      <c r="V248" s="433"/>
    </row>
    <row r="249" spans="1:22" ht="19.899999999999999" customHeight="1">
      <c r="A249" s="666"/>
      <c r="B249" s="433"/>
      <c r="C249" s="433"/>
      <c r="D249" s="433"/>
      <c r="E249" s="433"/>
      <c r="F249" s="433"/>
      <c r="G249" s="433"/>
      <c r="H249" s="433"/>
      <c r="I249" s="433"/>
      <c r="J249" s="433"/>
      <c r="K249" s="433"/>
      <c r="L249" s="433"/>
      <c r="M249" s="433"/>
      <c r="N249" s="433"/>
      <c r="O249" s="433"/>
      <c r="P249" s="433"/>
      <c r="Q249" s="433"/>
      <c r="R249" s="433"/>
      <c r="S249" s="433"/>
      <c r="T249" s="433"/>
      <c r="U249" s="433"/>
      <c r="V249" s="433"/>
    </row>
    <row r="250" spans="1:22" ht="19.899999999999999" customHeight="1">
      <c r="A250" s="666"/>
      <c r="B250" s="433"/>
      <c r="C250" s="433"/>
      <c r="D250" s="433"/>
      <c r="E250" s="433"/>
      <c r="F250" s="433"/>
      <c r="G250" s="433"/>
      <c r="H250" s="433"/>
      <c r="I250" s="433"/>
      <c r="J250" s="433"/>
      <c r="K250" s="433"/>
      <c r="L250" s="433"/>
      <c r="M250" s="433"/>
      <c r="N250" s="433"/>
      <c r="O250" s="433"/>
      <c r="P250" s="433"/>
      <c r="Q250" s="433"/>
      <c r="R250" s="433"/>
      <c r="S250" s="433"/>
      <c r="T250" s="433"/>
      <c r="U250" s="433"/>
      <c r="V250" s="433"/>
    </row>
    <row r="251" spans="1:22" ht="19.899999999999999" customHeight="1">
      <c r="A251" s="666"/>
      <c r="B251" s="433"/>
      <c r="C251" s="433"/>
      <c r="D251" s="433"/>
      <c r="E251" s="433"/>
      <c r="F251" s="433"/>
      <c r="G251" s="433"/>
      <c r="H251" s="433"/>
      <c r="I251" s="433"/>
      <c r="J251" s="433"/>
      <c r="K251" s="433"/>
      <c r="L251" s="433"/>
      <c r="M251" s="433"/>
      <c r="N251" s="433"/>
      <c r="O251" s="433"/>
      <c r="P251" s="433"/>
      <c r="Q251" s="433"/>
      <c r="R251" s="433"/>
      <c r="S251" s="433"/>
      <c r="T251" s="433"/>
      <c r="U251" s="433"/>
      <c r="V251" s="433"/>
    </row>
    <row r="252" spans="1:22" ht="19.899999999999999" customHeight="1">
      <c r="A252" s="666"/>
      <c r="B252" s="433"/>
      <c r="C252" s="433"/>
      <c r="D252" s="433"/>
      <c r="E252" s="433"/>
      <c r="F252" s="433"/>
      <c r="G252" s="433"/>
      <c r="H252" s="433"/>
      <c r="I252" s="433"/>
      <c r="J252" s="433"/>
      <c r="K252" s="433"/>
      <c r="L252" s="433"/>
      <c r="M252" s="433"/>
      <c r="N252" s="433"/>
      <c r="O252" s="433"/>
      <c r="P252" s="433"/>
      <c r="Q252" s="433"/>
      <c r="R252" s="433"/>
      <c r="S252" s="433"/>
      <c r="T252" s="433"/>
      <c r="U252" s="433"/>
      <c r="V252" s="433"/>
    </row>
    <row r="253" spans="1:22" ht="19.899999999999999" customHeight="1">
      <c r="A253" s="666"/>
      <c r="B253" s="433"/>
      <c r="C253" s="433"/>
      <c r="D253" s="433"/>
      <c r="E253" s="433"/>
      <c r="F253" s="433"/>
      <c r="G253" s="433"/>
      <c r="H253" s="433"/>
      <c r="I253" s="433"/>
      <c r="J253" s="433"/>
      <c r="K253" s="433"/>
      <c r="L253" s="433"/>
      <c r="M253" s="433"/>
      <c r="N253" s="433"/>
      <c r="O253" s="433"/>
      <c r="P253" s="433"/>
      <c r="Q253" s="433"/>
      <c r="R253" s="433"/>
      <c r="S253" s="433"/>
      <c r="T253" s="433"/>
      <c r="U253" s="433"/>
      <c r="V253" s="433"/>
    </row>
    <row r="254" spans="1:22" ht="19.899999999999999" customHeight="1">
      <c r="A254" s="666"/>
      <c r="B254" s="433"/>
      <c r="C254" s="433"/>
      <c r="D254" s="433"/>
      <c r="E254" s="433"/>
      <c r="F254" s="433"/>
      <c r="G254" s="433"/>
      <c r="H254" s="433"/>
      <c r="I254" s="433"/>
      <c r="J254" s="433"/>
      <c r="K254" s="433"/>
      <c r="L254" s="433"/>
      <c r="M254" s="433"/>
      <c r="N254" s="433"/>
      <c r="O254" s="433"/>
      <c r="P254" s="433"/>
      <c r="Q254" s="433"/>
      <c r="R254" s="433"/>
      <c r="S254" s="433"/>
      <c r="T254" s="433"/>
      <c r="U254" s="433"/>
      <c r="V254" s="433"/>
    </row>
    <row r="255" spans="1:22" ht="19.899999999999999" customHeight="1">
      <c r="A255" s="666"/>
      <c r="B255" s="433"/>
      <c r="C255" s="433"/>
      <c r="D255" s="433"/>
      <c r="E255" s="433"/>
      <c r="F255" s="433"/>
      <c r="G255" s="433"/>
      <c r="H255" s="433"/>
      <c r="I255" s="433"/>
      <c r="J255" s="433"/>
      <c r="K255" s="433"/>
      <c r="L255" s="433"/>
      <c r="M255" s="433"/>
      <c r="N255" s="433"/>
      <c r="O255" s="433"/>
      <c r="P255" s="433"/>
      <c r="Q255" s="433"/>
      <c r="R255" s="433"/>
      <c r="S255" s="433"/>
      <c r="T255" s="433"/>
      <c r="U255" s="433"/>
      <c r="V255" s="433"/>
    </row>
    <row r="256" spans="1:22" ht="19.899999999999999" customHeight="1">
      <c r="A256" s="666"/>
      <c r="B256" s="433"/>
      <c r="C256" s="433"/>
      <c r="D256" s="433"/>
      <c r="E256" s="433"/>
      <c r="F256" s="433"/>
      <c r="G256" s="433"/>
      <c r="H256" s="433"/>
      <c r="I256" s="433"/>
      <c r="J256" s="433"/>
      <c r="K256" s="433"/>
      <c r="L256" s="433"/>
      <c r="M256" s="433"/>
      <c r="N256" s="433"/>
      <c r="O256" s="433"/>
      <c r="P256" s="433"/>
      <c r="Q256" s="433"/>
      <c r="R256" s="433"/>
      <c r="S256" s="433"/>
      <c r="T256" s="433"/>
      <c r="U256" s="433"/>
      <c r="V256" s="433"/>
    </row>
    <row r="257" spans="1:22" ht="19.899999999999999" customHeight="1">
      <c r="A257" s="666"/>
      <c r="B257" s="433"/>
      <c r="C257" s="433"/>
      <c r="D257" s="433"/>
      <c r="E257" s="433"/>
      <c r="F257" s="433"/>
      <c r="G257" s="433"/>
      <c r="H257" s="433"/>
      <c r="I257" s="433"/>
      <c r="J257" s="433"/>
      <c r="K257" s="433"/>
      <c r="L257" s="433"/>
      <c r="M257" s="433"/>
      <c r="N257" s="433"/>
      <c r="O257" s="433"/>
      <c r="P257" s="433"/>
      <c r="Q257" s="433"/>
      <c r="R257" s="433"/>
      <c r="S257" s="433"/>
      <c r="T257" s="433"/>
      <c r="U257" s="433"/>
      <c r="V257" s="433"/>
    </row>
    <row r="258" spans="1:22" ht="19.899999999999999" customHeight="1">
      <c r="A258" s="666"/>
      <c r="B258" s="433"/>
      <c r="C258" s="433"/>
      <c r="D258" s="433"/>
      <c r="E258" s="433"/>
      <c r="F258" s="433"/>
      <c r="G258" s="433"/>
      <c r="H258" s="433"/>
      <c r="I258" s="433"/>
      <c r="J258" s="433"/>
      <c r="K258" s="433"/>
      <c r="L258" s="433"/>
      <c r="M258" s="433"/>
      <c r="N258" s="433"/>
      <c r="O258" s="433"/>
      <c r="P258" s="433"/>
      <c r="Q258" s="433"/>
      <c r="R258" s="433"/>
      <c r="S258" s="433"/>
      <c r="T258" s="433"/>
      <c r="U258" s="433"/>
      <c r="V258" s="433"/>
    </row>
    <row r="259" spans="1:22" ht="19.899999999999999" customHeight="1">
      <c r="A259" s="666"/>
      <c r="B259" s="433"/>
      <c r="C259" s="433"/>
      <c r="D259" s="433"/>
      <c r="E259" s="433"/>
      <c r="F259" s="433"/>
      <c r="G259" s="433"/>
      <c r="H259" s="433"/>
      <c r="I259" s="433"/>
      <c r="J259" s="433"/>
      <c r="K259" s="433"/>
      <c r="L259" s="433"/>
      <c r="M259" s="433"/>
      <c r="N259" s="433"/>
      <c r="O259" s="433"/>
      <c r="P259" s="433"/>
      <c r="Q259" s="433"/>
      <c r="R259" s="433"/>
      <c r="S259" s="433"/>
      <c r="T259" s="433"/>
      <c r="U259" s="433"/>
      <c r="V259" s="433"/>
    </row>
    <row r="260" spans="1:22" ht="19.899999999999999" customHeight="1">
      <c r="A260" s="666"/>
      <c r="B260" s="433"/>
      <c r="C260" s="433"/>
      <c r="D260" s="433"/>
      <c r="E260" s="433"/>
      <c r="F260" s="433"/>
      <c r="G260" s="433"/>
      <c r="H260" s="433"/>
      <c r="I260" s="433"/>
      <c r="J260" s="433"/>
      <c r="K260" s="433"/>
      <c r="L260" s="433"/>
      <c r="M260" s="433"/>
      <c r="N260" s="433"/>
      <c r="O260" s="433"/>
      <c r="P260" s="433"/>
      <c r="Q260" s="433"/>
      <c r="R260" s="433"/>
      <c r="S260" s="433"/>
      <c r="T260" s="433"/>
      <c r="U260" s="433"/>
      <c r="V260" s="433"/>
    </row>
    <row r="261" spans="1:22" ht="19.899999999999999" customHeight="1">
      <c r="A261" s="666"/>
      <c r="B261" s="433"/>
      <c r="C261" s="433"/>
      <c r="D261" s="433"/>
      <c r="E261" s="433"/>
      <c r="F261" s="433"/>
      <c r="G261" s="433"/>
      <c r="H261" s="433"/>
      <c r="I261" s="433"/>
      <c r="J261" s="433"/>
      <c r="K261" s="433"/>
      <c r="L261" s="433"/>
      <c r="M261" s="433"/>
      <c r="N261" s="433"/>
      <c r="O261" s="433"/>
      <c r="P261" s="433"/>
      <c r="Q261" s="433"/>
      <c r="R261" s="433"/>
      <c r="S261" s="433"/>
      <c r="T261" s="433"/>
      <c r="U261" s="433"/>
      <c r="V261" s="433"/>
    </row>
    <row r="262" spans="1:22" ht="19.899999999999999" customHeight="1">
      <c r="A262" s="666"/>
      <c r="B262" s="433"/>
      <c r="C262" s="433"/>
      <c r="D262" s="433"/>
      <c r="E262" s="433"/>
      <c r="F262" s="433"/>
      <c r="G262" s="433"/>
      <c r="H262" s="433"/>
      <c r="I262" s="433"/>
      <c r="J262" s="433"/>
      <c r="K262" s="433"/>
      <c r="L262" s="433"/>
      <c r="M262" s="433"/>
      <c r="N262" s="433"/>
      <c r="O262" s="433"/>
      <c r="P262" s="433"/>
      <c r="Q262" s="433"/>
      <c r="R262" s="433"/>
      <c r="S262" s="433"/>
      <c r="T262" s="433"/>
      <c r="U262" s="433"/>
      <c r="V262" s="433"/>
    </row>
    <row r="263" spans="1:22" ht="19.899999999999999" customHeight="1">
      <c r="A263" s="666"/>
      <c r="B263" s="433"/>
      <c r="C263" s="433"/>
      <c r="D263" s="433"/>
      <c r="E263" s="433"/>
      <c r="F263" s="433"/>
      <c r="G263" s="433"/>
      <c r="H263" s="433"/>
      <c r="I263" s="433"/>
      <c r="J263" s="433"/>
      <c r="K263" s="433"/>
      <c r="L263" s="433"/>
      <c r="M263" s="433"/>
      <c r="N263" s="433"/>
      <c r="O263" s="433"/>
      <c r="P263" s="433"/>
      <c r="Q263" s="433"/>
      <c r="R263" s="433"/>
      <c r="S263" s="433"/>
      <c r="T263" s="433"/>
      <c r="U263" s="433"/>
      <c r="V263" s="433"/>
    </row>
    <row r="264" spans="1:22" ht="19.899999999999999" customHeight="1">
      <c r="A264" s="666"/>
      <c r="B264" s="433"/>
      <c r="C264" s="433"/>
      <c r="D264" s="433"/>
      <c r="E264" s="433"/>
      <c r="F264" s="433"/>
      <c r="G264" s="433"/>
      <c r="H264" s="433"/>
      <c r="I264" s="433"/>
      <c r="J264" s="433"/>
      <c r="K264" s="433"/>
      <c r="L264" s="433"/>
      <c r="M264" s="433"/>
      <c r="N264" s="433"/>
      <c r="O264" s="433"/>
      <c r="P264" s="433"/>
      <c r="Q264" s="433"/>
      <c r="R264" s="433"/>
      <c r="S264" s="433"/>
      <c r="T264" s="433"/>
      <c r="U264" s="433"/>
      <c r="V264" s="433"/>
    </row>
    <row r="265" spans="1:22" ht="19.899999999999999" customHeight="1">
      <c r="A265" s="666"/>
      <c r="B265" s="433"/>
      <c r="C265" s="433"/>
      <c r="D265" s="433"/>
      <c r="E265" s="433"/>
      <c r="F265" s="433"/>
      <c r="G265" s="433"/>
      <c r="H265" s="433"/>
      <c r="I265" s="433"/>
      <c r="J265" s="433"/>
      <c r="K265" s="433"/>
      <c r="L265" s="433"/>
      <c r="M265" s="433"/>
      <c r="N265" s="433"/>
      <c r="O265" s="433"/>
      <c r="P265" s="433"/>
      <c r="Q265" s="433"/>
      <c r="R265" s="433"/>
      <c r="S265" s="433"/>
      <c r="T265" s="433"/>
      <c r="U265" s="433"/>
      <c r="V265" s="433"/>
    </row>
    <row r="266" spans="1:22" ht="19.899999999999999" customHeight="1">
      <c r="A266" s="666"/>
      <c r="B266" s="433"/>
      <c r="C266" s="433"/>
      <c r="D266" s="433"/>
      <c r="E266" s="433"/>
      <c r="F266" s="433"/>
      <c r="G266" s="433"/>
      <c r="H266" s="433"/>
      <c r="I266" s="433"/>
      <c r="J266" s="433"/>
      <c r="K266" s="433"/>
      <c r="L266" s="433"/>
      <c r="M266" s="433"/>
      <c r="N266" s="433"/>
      <c r="O266" s="433"/>
      <c r="P266" s="433"/>
      <c r="Q266" s="433"/>
      <c r="R266" s="433"/>
      <c r="S266" s="433"/>
      <c r="T266" s="433"/>
      <c r="U266" s="433"/>
      <c r="V266" s="433"/>
    </row>
    <row r="267" spans="1:22" ht="19.899999999999999" customHeight="1">
      <c r="A267" s="666"/>
      <c r="B267" s="433"/>
      <c r="C267" s="433"/>
      <c r="D267" s="433"/>
      <c r="E267" s="433"/>
      <c r="F267" s="433"/>
      <c r="G267" s="433"/>
      <c r="H267" s="433"/>
      <c r="I267" s="433"/>
      <c r="J267" s="433"/>
      <c r="K267" s="433"/>
      <c r="L267" s="433"/>
      <c r="M267" s="433"/>
      <c r="N267" s="433"/>
      <c r="O267" s="433"/>
      <c r="P267" s="433"/>
      <c r="Q267" s="433"/>
      <c r="R267" s="433"/>
      <c r="S267" s="433"/>
      <c r="T267" s="433"/>
      <c r="U267" s="433"/>
      <c r="V267" s="433"/>
    </row>
    <row r="268" spans="1:22" ht="19.899999999999999" customHeight="1">
      <c r="A268" s="666"/>
      <c r="B268" s="433"/>
      <c r="C268" s="433"/>
      <c r="D268" s="433"/>
      <c r="E268" s="433"/>
      <c r="F268" s="433"/>
      <c r="G268" s="433"/>
      <c r="H268" s="433"/>
      <c r="I268" s="433"/>
      <c r="J268" s="433"/>
      <c r="K268" s="433"/>
      <c r="L268" s="433"/>
      <c r="M268" s="433"/>
      <c r="N268" s="433"/>
      <c r="O268" s="433"/>
      <c r="P268" s="433"/>
      <c r="Q268" s="433"/>
      <c r="R268" s="433"/>
      <c r="S268" s="433"/>
      <c r="T268" s="433"/>
      <c r="U268" s="433"/>
      <c r="V268" s="433"/>
    </row>
    <row r="269" spans="1:22" ht="19.899999999999999" customHeight="1">
      <c r="A269" s="666"/>
      <c r="B269" s="433"/>
      <c r="C269" s="433"/>
      <c r="D269" s="433"/>
      <c r="E269" s="433"/>
      <c r="F269" s="433"/>
      <c r="G269" s="433"/>
      <c r="H269" s="433"/>
      <c r="I269" s="433"/>
      <c r="J269" s="433"/>
      <c r="K269" s="433"/>
      <c r="L269" s="433"/>
      <c r="M269" s="433"/>
      <c r="N269" s="433"/>
      <c r="O269" s="433"/>
      <c r="P269" s="433"/>
      <c r="Q269" s="433"/>
      <c r="R269" s="433"/>
      <c r="S269" s="433"/>
      <c r="T269" s="433"/>
      <c r="U269" s="433"/>
      <c r="V269" s="433"/>
    </row>
    <row r="270" spans="1:22" ht="19.899999999999999" customHeight="1">
      <c r="A270" s="666"/>
      <c r="B270" s="433"/>
      <c r="C270" s="433"/>
      <c r="D270" s="433"/>
      <c r="E270" s="433"/>
      <c r="F270" s="433"/>
      <c r="G270" s="433"/>
      <c r="H270" s="433"/>
      <c r="I270" s="433"/>
      <c r="J270" s="433"/>
      <c r="K270" s="433"/>
      <c r="L270" s="433"/>
      <c r="M270" s="433"/>
      <c r="N270" s="433"/>
      <c r="O270" s="433"/>
      <c r="P270" s="433"/>
      <c r="Q270" s="433"/>
      <c r="R270" s="433"/>
      <c r="S270" s="433"/>
      <c r="T270" s="433"/>
      <c r="U270" s="433"/>
      <c r="V270" s="433"/>
    </row>
    <row r="271" spans="1:22" ht="19.899999999999999" customHeight="1">
      <c r="A271" s="666"/>
      <c r="B271" s="433"/>
      <c r="C271" s="433"/>
      <c r="D271" s="433"/>
      <c r="E271" s="433"/>
      <c r="F271" s="433"/>
      <c r="G271" s="433"/>
      <c r="H271" s="433"/>
      <c r="I271" s="433"/>
      <c r="J271" s="433"/>
      <c r="K271" s="433"/>
      <c r="L271" s="433"/>
      <c r="M271" s="433"/>
      <c r="N271" s="433"/>
      <c r="O271" s="433"/>
      <c r="P271" s="433"/>
      <c r="Q271" s="433"/>
      <c r="R271" s="433"/>
      <c r="S271" s="433"/>
      <c r="T271" s="433"/>
      <c r="U271" s="433"/>
      <c r="V271" s="433"/>
    </row>
    <row r="272" spans="1:22" ht="19.899999999999999" customHeight="1">
      <c r="A272" s="666"/>
      <c r="B272" s="433"/>
      <c r="C272" s="433"/>
      <c r="D272" s="433"/>
      <c r="E272" s="433"/>
      <c r="F272" s="433"/>
      <c r="G272" s="433"/>
      <c r="H272" s="433"/>
      <c r="I272" s="433"/>
      <c r="J272" s="433"/>
      <c r="K272" s="433"/>
      <c r="L272" s="433"/>
      <c r="M272" s="433"/>
      <c r="N272" s="433"/>
      <c r="O272" s="433"/>
      <c r="P272" s="433"/>
      <c r="Q272" s="433"/>
      <c r="R272" s="433"/>
      <c r="S272" s="433"/>
      <c r="T272" s="433"/>
      <c r="U272" s="433"/>
      <c r="V272" s="433"/>
    </row>
    <row r="273" spans="1:41" ht="19.899999999999999" customHeight="1">
      <c r="A273" s="666"/>
      <c r="B273" s="433"/>
      <c r="C273" s="433"/>
      <c r="D273" s="433"/>
      <c r="E273" s="433"/>
      <c r="F273" s="433"/>
      <c r="G273" s="433"/>
      <c r="H273" s="433"/>
      <c r="I273" s="433"/>
      <c r="J273" s="433"/>
      <c r="K273" s="433"/>
      <c r="L273" s="433"/>
      <c r="M273" s="433"/>
      <c r="N273" s="433"/>
      <c r="O273" s="433"/>
      <c r="P273" s="433"/>
      <c r="Q273" s="433"/>
      <c r="R273" s="433"/>
      <c r="S273" s="433"/>
      <c r="T273" s="433"/>
      <c r="U273" s="433"/>
      <c r="V273" s="433"/>
    </row>
    <row r="274" spans="1:41" ht="19.899999999999999" customHeight="1">
      <c r="A274" s="666"/>
      <c r="B274" s="433"/>
      <c r="C274" s="433"/>
      <c r="D274" s="433"/>
      <c r="E274" s="433"/>
      <c r="F274" s="433"/>
      <c r="G274" s="433"/>
      <c r="H274" s="433"/>
      <c r="I274" s="433"/>
      <c r="J274" s="433"/>
      <c r="K274" s="433"/>
      <c r="L274" s="433"/>
      <c r="M274" s="433"/>
      <c r="N274" s="433"/>
      <c r="O274" s="433"/>
      <c r="P274" s="433"/>
      <c r="Q274" s="433"/>
      <c r="R274" s="433"/>
      <c r="S274" s="433"/>
      <c r="T274" s="433"/>
      <c r="U274" s="433"/>
      <c r="V274" s="433"/>
    </row>
    <row r="275" spans="1:41" ht="19.899999999999999" customHeight="1">
      <c r="A275" s="666"/>
      <c r="B275" s="433"/>
      <c r="C275" s="433"/>
      <c r="D275" s="433"/>
      <c r="E275" s="433"/>
      <c r="F275" s="433"/>
      <c r="G275" s="433"/>
      <c r="H275" s="433"/>
      <c r="I275" s="433"/>
      <c r="J275" s="433"/>
      <c r="K275" s="433"/>
      <c r="L275" s="433"/>
      <c r="M275" s="433"/>
      <c r="N275" s="433"/>
      <c r="O275" s="433"/>
      <c r="P275" s="433"/>
      <c r="Q275" s="433"/>
      <c r="R275" s="433"/>
      <c r="S275" s="433"/>
      <c r="T275" s="433"/>
      <c r="U275" s="433"/>
      <c r="V275" s="433"/>
    </row>
    <row r="276" spans="1:41" ht="19.899999999999999" customHeight="1">
      <c r="A276" s="666"/>
      <c r="B276" s="433"/>
      <c r="C276" s="433"/>
      <c r="D276" s="433"/>
      <c r="E276" s="433"/>
      <c r="F276" s="433"/>
      <c r="G276" s="433"/>
      <c r="H276" s="433"/>
      <c r="I276" s="433"/>
      <c r="J276" s="433"/>
      <c r="K276" s="433"/>
      <c r="L276" s="433"/>
      <c r="M276" s="433"/>
      <c r="N276" s="433"/>
      <c r="O276" s="433"/>
      <c r="P276" s="433"/>
      <c r="Q276" s="433"/>
      <c r="R276" s="433"/>
      <c r="S276" s="433"/>
      <c r="T276" s="433"/>
      <c r="U276" s="433"/>
      <c r="V276" s="433"/>
    </row>
    <row r="277" spans="1:41" ht="19.899999999999999" customHeight="1">
      <c r="A277" s="666"/>
      <c r="B277" s="433"/>
      <c r="C277" s="433"/>
      <c r="D277" s="433"/>
      <c r="E277" s="433"/>
      <c r="F277" s="433"/>
      <c r="G277" s="433"/>
      <c r="H277" s="433"/>
      <c r="I277" s="433"/>
      <c r="J277" s="433"/>
      <c r="K277" s="433"/>
      <c r="L277" s="433"/>
      <c r="M277" s="433"/>
      <c r="N277" s="433"/>
      <c r="O277" s="433"/>
      <c r="P277" s="433"/>
      <c r="Q277" s="433"/>
      <c r="R277" s="433"/>
      <c r="S277" s="433"/>
      <c r="T277" s="433"/>
      <c r="U277" s="433"/>
      <c r="V277" s="433"/>
    </row>
    <row r="278" spans="1:41" ht="19.899999999999999" customHeight="1">
      <c r="A278" s="666"/>
      <c r="B278" s="433"/>
      <c r="C278" s="433"/>
      <c r="D278" s="433"/>
      <c r="E278" s="433"/>
      <c r="F278" s="433"/>
      <c r="G278" s="433"/>
      <c r="H278" s="433"/>
      <c r="I278" s="433"/>
      <c r="J278" s="433"/>
      <c r="K278" s="433"/>
      <c r="L278" s="433"/>
      <c r="M278" s="433"/>
      <c r="N278" s="433"/>
      <c r="O278" s="433"/>
      <c r="P278" s="433"/>
      <c r="Q278" s="433"/>
      <c r="R278" s="433"/>
      <c r="S278" s="433"/>
      <c r="T278" s="433"/>
      <c r="U278" s="433"/>
      <c r="V278" s="433"/>
    </row>
    <row r="279" spans="1:41" ht="19.899999999999999" customHeight="1">
      <c r="A279" s="666"/>
      <c r="B279" s="433"/>
      <c r="C279" s="433"/>
      <c r="D279" s="433"/>
      <c r="E279" s="433"/>
      <c r="F279" s="433"/>
      <c r="G279" s="433"/>
      <c r="H279" s="433"/>
      <c r="I279" s="433"/>
      <c r="J279" s="433"/>
      <c r="K279" s="433"/>
      <c r="L279" s="433"/>
      <c r="M279" s="433"/>
      <c r="N279" s="433"/>
      <c r="O279" s="433"/>
      <c r="P279" s="433"/>
      <c r="Q279" s="433"/>
      <c r="R279" s="433"/>
      <c r="S279" s="433"/>
      <c r="T279" s="433"/>
      <c r="U279" s="433"/>
      <c r="V279" s="433"/>
    </row>
    <row r="280" spans="1:41" ht="19.899999999999999" customHeight="1">
      <c r="A280" s="666"/>
      <c r="B280" s="433"/>
      <c r="C280" s="433"/>
      <c r="D280" s="433"/>
      <c r="E280" s="433"/>
      <c r="F280" s="433"/>
      <c r="G280" s="433"/>
      <c r="H280" s="433"/>
      <c r="I280" s="433"/>
      <c r="J280" s="433"/>
      <c r="K280" s="433"/>
      <c r="L280" s="433"/>
      <c r="M280" s="433"/>
      <c r="N280" s="433"/>
      <c r="O280" s="433"/>
      <c r="P280" s="433"/>
      <c r="Q280" s="433"/>
      <c r="R280" s="433"/>
      <c r="S280" s="433"/>
      <c r="T280" s="433"/>
      <c r="U280" s="433"/>
      <c r="V280" s="433"/>
    </row>
    <row r="281" spans="1:41" ht="19.899999999999999" customHeight="1" thickBot="1">
      <c r="A281" s="666"/>
      <c r="B281" s="433"/>
      <c r="C281" s="433"/>
      <c r="D281" s="433"/>
      <c r="E281" s="433"/>
      <c r="F281" s="433"/>
      <c r="G281" s="433"/>
      <c r="H281" s="433"/>
      <c r="I281" s="433"/>
      <c r="J281" s="433"/>
      <c r="K281" s="433"/>
      <c r="L281" s="433"/>
      <c r="M281" s="433"/>
      <c r="N281" s="433"/>
      <c r="O281" s="433"/>
      <c r="P281" s="433"/>
      <c r="Q281" s="433"/>
      <c r="R281" s="433"/>
      <c r="S281" s="433"/>
      <c r="T281" s="433"/>
      <c r="U281" s="433"/>
      <c r="V281" s="433"/>
    </row>
    <row r="282" spans="1:41" ht="19.899999999999999" customHeight="1">
      <c r="A282" s="666"/>
      <c r="B282" s="433"/>
      <c r="C282" s="433"/>
      <c r="D282" s="433"/>
      <c r="E282" s="433"/>
      <c r="F282" s="433"/>
      <c r="G282" s="433"/>
      <c r="H282" s="433"/>
      <c r="I282" s="433"/>
      <c r="J282" s="433"/>
      <c r="K282" s="433"/>
      <c r="M282" s="433"/>
      <c r="N282" s="1231"/>
      <c r="O282" s="433"/>
      <c r="P282" s="433"/>
      <c r="Q282" s="433"/>
      <c r="R282" s="433"/>
      <c r="S282" s="433"/>
      <c r="T282" s="433"/>
      <c r="U282" s="433"/>
      <c r="V282" s="433"/>
      <c r="W282" s="21"/>
      <c r="X282" s="21"/>
      <c r="Y282" s="1232"/>
      <c r="Z282" s="1232"/>
      <c r="AA282" s="1717"/>
      <c r="AB282" s="1717"/>
      <c r="AC282" s="1717"/>
      <c r="AE282" s="433"/>
      <c r="AF282" s="433"/>
      <c r="AG282" s="439"/>
      <c r="AH282" s="433"/>
      <c r="AI282" s="433"/>
      <c r="AJ282" s="433"/>
      <c r="AK282" s="433"/>
      <c r="AL282" s="433"/>
      <c r="AM282" s="433"/>
      <c r="AN282" s="433"/>
      <c r="AO282" s="433"/>
    </row>
    <row r="283" spans="1:41" ht="19.899999999999999" customHeight="1">
      <c r="A283" s="666"/>
      <c r="B283" s="433"/>
      <c r="C283" s="433"/>
      <c r="D283" s="433"/>
      <c r="E283" s="433"/>
      <c r="F283" s="433"/>
      <c r="G283" s="433"/>
      <c r="H283" s="433"/>
      <c r="I283" s="433"/>
      <c r="J283" s="433"/>
      <c r="K283" s="433"/>
      <c r="M283" s="433"/>
      <c r="N283" s="441"/>
      <c r="O283" s="433"/>
      <c r="P283" s="441"/>
      <c r="Q283" s="433"/>
      <c r="R283" s="433"/>
      <c r="S283" s="433"/>
      <c r="T283" s="433"/>
      <c r="U283" s="433"/>
      <c r="V283" s="433"/>
      <c r="W283" s="21"/>
      <c r="X283" s="21"/>
      <c r="Y283" s="1232"/>
      <c r="Z283" s="1232"/>
      <c r="AA283" s="1232"/>
      <c r="AB283" s="1232"/>
      <c r="AC283" s="1232"/>
      <c r="AE283" s="433"/>
      <c r="AF283" s="433"/>
      <c r="AG283" s="446"/>
      <c r="AH283" s="433"/>
      <c r="AI283" s="433"/>
      <c r="AJ283" s="433"/>
      <c r="AK283" s="433"/>
      <c r="AL283" s="433"/>
      <c r="AM283" s="433"/>
      <c r="AN283" s="433"/>
      <c r="AO283" s="433"/>
    </row>
    <row r="284" spans="1:41" ht="19.899999999999999" customHeight="1">
      <c r="A284" s="666"/>
      <c r="B284" s="433"/>
      <c r="C284" s="433"/>
      <c r="D284" s="433"/>
      <c r="E284" s="433"/>
      <c r="F284" s="433"/>
      <c r="G284" s="433"/>
      <c r="H284" s="433"/>
      <c r="I284" s="433"/>
      <c r="J284" s="433"/>
      <c r="K284" s="433"/>
      <c r="M284" s="433"/>
      <c r="N284" s="441"/>
      <c r="O284" s="433"/>
      <c r="P284" s="447"/>
      <c r="Q284" s="433"/>
      <c r="R284" s="441"/>
      <c r="S284" s="433"/>
      <c r="T284" s="1233"/>
      <c r="U284" s="433"/>
      <c r="V284" s="433"/>
      <c r="W284" s="21"/>
      <c r="X284" s="21"/>
      <c r="Y284" s="1232"/>
      <c r="Z284" s="1234"/>
      <c r="AA284" s="1234"/>
      <c r="AB284" s="1234"/>
      <c r="AC284" s="1234"/>
      <c r="AE284" s="433"/>
      <c r="AF284" s="433"/>
      <c r="AG284" s="446"/>
      <c r="AH284" s="433"/>
      <c r="AI284" s="433"/>
      <c r="AJ284" s="433"/>
      <c r="AK284" s="433"/>
      <c r="AL284" s="433"/>
      <c r="AM284" s="433"/>
      <c r="AN284" s="433"/>
      <c r="AO284" s="433"/>
    </row>
    <row r="285" spans="1:41" ht="19.899999999999999" customHeight="1">
      <c r="A285" s="666"/>
      <c r="B285" s="433"/>
      <c r="C285" s="433"/>
      <c r="D285" s="433"/>
      <c r="E285" s="433"/>
      <c r="F285" s="433"/>
      <c r="G285" s="433"/>
      <c r="H285" s="433"/>
      <c r="I285" s="433"/>
      <c r="J285" s="433"/>
      <c r="K285" s="433"/>
      <c r="M285" s="433"/>
      <c r="N285" s="433"/>
      <c r="O285" s="433"/>
      <c r="P285" s="433"/>
      <c r="Q285" s="433"/>
      <c r="R285" s="433"/>
      <c r="S285" s="433"/>
      <c r="T285" s="433"/>
      <c r="U285" s="433"/>
      <c r="V285" s="433"/>
      <c r="W285" s="21"/>
      <c r="X285" s="21"/>
      <c r="Y285" s="1232"/>
      <c r="Z285" s="1234"/>
      <c r="AA285" s="1234"/>
      <c r="AB285" s="1234"/>
      <c r="AC285" s="1234"/>
      <c r="AE285" s="433"/>
      <c r="AF285" s="433"/>
      <c r="AG285" s="446"/>
      <c r="AH285" s="433"/>
      <c r="AI285" s="433"/>
      <c r="AJ285" s="433"/>
      <c r="AK285" s="433"/>
      <c r="AL285" s="433"/>
      <c r="AM285" s="433"/>
      <c r="AN285" s="433"/>
      <c r="AO285" s="433"/>
    </row>
    <row r="286" spans="1:41" ht="19.899999999999999" customHeight="1">
      <c r="A286" s="666"/>
      <c r="B286" s="433"/>
      <c r="C286" s="433"/>
      <c r="D286" s="433"/>
      <c r="E286" s="433"/>
      <c r="F286" s="433"/>
      <c r="G286" s="433"/>
      <c r="H286" s="433"/>
      <c r="I286" s="433"/>
      <c r="J286" s="433"/>
      <c r="K286" s="433"/>
      <c r="M286" s="433"/>
      <c r="N286" s="1716"/>
      <c r="O286" s="458"/>
      <c r="P286" s="441"/>
      <c r="Q286" s="441"/>
      <c r="R286" s="433"/>
      <c r="S286" s="433"/>
      <c r="T286" s="21"/>
      <c r="U286" s="21"/>
      <c r="V286" s="433"/>
      <c r="W286" s="21"/>
      <c r="X286" s="21"/>
      <c r="Y286" s="1232"/>
      <c r="Z286" s="1234"/>
      <c r="AA286" s="1234"/>
      <c r="AB286" s="1234"/>
      <c r="AC286" s="1234"/>
      <c r="AE286" s="433"/>
      <c r="AF286" s="433"/>
      <c r="AG286" s="456"/>
      <c r="AH286" s="433"/>
      <c r="AI286" s="433"/>
      <c r="AJ286" s="433"/>
      <c r="AK286" s="433"/>
      <c r="AL286" s="433"/>
      <c r="AM286" s="433"/>
      <c r="AN286" s="433"/>
      <c r="AO286" s="433"/>
    </row>
    <row r="287" spans="1:41" ht="19.899999999999999" customHeight="1">
      <c r="A287" s="666"/>
      <c r="B287" s="433"/>
      <c r="C287" s="433"/>
      <c r="D287" s="433"/>
      <c r="E287" s="433"/>
      <c r="F287" s="433"/>
      <c r="G287" s="433"/>
      <c r="H287" s="433"/>
      <c r="I287" s="433"/>
      <c r="J287" s="433"/>
      <c r="K287" s="433"/>
      <c r="M287" s="433"/>
      <c r="N287" s="1716"/>
      <c r="O287" s="458"/>
      <c r="P287" s="441"/>
      <c r="Q287" s="458"/>
      <c r="R287" s="433"/>
      <c r="S287" s="433"/>
      <c r="T287" s="441"/>
      <c r="U287" s="458"/>
      <c r="V287" s="433"/>
      <c r="W287" s="21"/>
      <c r="X287" s="21"/>
      <c r="Y287" s="1232"/>
      <c r="Z287" s="1234"/>
      <c r="AA287" s="1234"/>
      <c r="AB287" s="1234"/>
      <c r="AC287" s="1234"/>
      <c r="AD287" s="433"/>
      <c r="AE287" s="433"/>
      <c r="AF287" s="433"/>
      <c r="AG287" s="459"/>
      <c r="AH287" s="433"/>
      <c r="AI287" s="433"/>
      <c r="AJ287" s="433"/>
      <c r="AK287" s="433"/>
      <c r="AL287" s="433"/>
      <c r="AM287" s="433"/>
      <c r="AN287" s="433"/>
      <c r="AO287" s="433"/>
    </row>
    <row r="288" spans="1:41" ht="19.899999999999999" customHeight="1">
      <c r="A288" s="666"/>
      <c r="B288" s="433"/>
      <c r="C288" s="433"/>
      <c r="D288" s="433"/>
      <c r="E288" s="433"/>
      <c r="F288" s="433"/>
      <c r="G288" s="433"/>
      <c r="H288" s="433"/>
      <c r="I288" s="433"/>
      <c r="J288" s="433"/>
      <c r="K288" s="433"/>
      <c r="M288" s="433"/>
      <c r="N288" s="1716"/>
      <c r="O288" s="458"/>
      <c r="P288" s="441"/>
      <c r="Q288" s="441"/>
      <c r="R288" s="433"/>
      <c r="S288" s="441"/>
      <c r="T288" s="441"/>
      <c r="U288" s="433"/>
      <c r="V288" s="433"/>
      <c r="W288" s="21"/>
      <c r="X288" s="21"/>
      <c r="Y288" s="1232"/>
      <c r="Z288" s="1234"/>
      <c r="AA288" s="1234"/>
      <c r="AB288" s="1234"/>
      <c r="AC288" s="1234"/>
      <c r="AD288" s="433"/>
      <c r="AE288" s="433"/>
      <c r="AF288" s="433"/>
      <c r="AG288" s="463"/>
      <c r="AH288" s="433"/>
      <c r="AI288" s="447"/>
      <c r="AJ288" s="464"/>
      <c r="AK288" s="464"/>
      <c r="AL288" s="464"/>
      <c r="AM288" s="464"/>
      <c r="AN288" s="433"/>
      <c r="AO288" s="433"/>
    </row>
    <row r="289" spans="1:41" ht="19.899999999999999" customHeight="1">
      <c r="A289" s="666"/>
      <c r="B289" s="433"/>
      <c r="C289" s="433"/>
      <c r="D289" s="433"/>
      <c r="E289" s="433"/>
      <c r="F289" s="433"/>
      <c r="G289" s="433"/>
      <c r="H289" s="433"/>
      <c r="I289" s="433"/>
      <c r="J289" s="433"/>
      <c r="K289" s="433"/>
      <c r="M289" s="433"/>
      <c r="N289" s="433"/>
      <c r="O289" s="639"/>
      <c r="P289" s="433"/>
      <c r="Q289" s="1235"/>
      <c r="R289" s="1235"/>
      <c r="S289" s="433"/>
      <c r="T289" s="433"/>
      <c r="U289" s="433"/>
      <c r="V289" s="433"/>
      <c r="W289" s="21"/>
      <c r="X289" s="21"/>
      <c r="Y289" s="1232"/>
      <c r="Z289" s="1234"/>
      <c r="AA289" s="1234"/>
      <c r="AB289" s="1234"/>
      <c r="AC289" s="1234"/>
      <c r="AD289" s="433"/>
      <c r="AE289" s="433"/>
      <c r="AF289" s="433"/>
      <c r="AG289" s="446"/>
      <c r="AH289" s="433"/>
      <c r="AI289" s="433"/>
      <c r="AJ289" s="433"/>
      <c r="AK289" s="433"/>
      <c r="AL289" s="433"/>
      <c r="AM289" s="433"/>
      <c r="AN289" s="433"/>
      <c r="AO289" s="433"/>
    </row>
    <row r="290" spans="1:41" ht="19.899999999999999" customHeight="1">
      <c r="A290" s="666"/>
      <c r="B290" s="433"/>
      <c r="C290" s="433"/>
      <c r="D290" s="433"/>
      <c r="E290" s="433"/>
      <c r="F290" s="433"/>
      <c r="G290" s="433"/>
      <c r="H290" s="433"/>
      <c r="I290" s="433"/>
      <c r="J290" s="433"/>
      <c r="K290" s="433"/>
      <c r="M290" s="433"/>
      <c r="N290" s="433"/>
      <c r="O290" s="639"/>
      <c r="P290" s="433"/>
      <c r="Q290" s="1235"/>
      <c r="R290" s="433"/>
      <c r="S290" s="433"/>
      <c r="T290" s="433"/>
      <c r="U290" s="433"/>
      <c r="V290" s="433"/>
      <c r="W290" s="21"/>
      <c r="X290" s="21"/>
      <c r="Y290" s="1232"/>
      <c r="Z290" s="1234"/>
      <c r="AA290" s="1234"/>
      <c r="AB290" s="1234"/>
      <c r="AC290" s="1234"/>
      <c r="AD290" s="433"/>
      <c r="AE290" s="433"/>
      <c r="AF290" s="433"/>
      <c r="AG290" s="446"/>
      <c r="AH290" s="433"/>
      <c r="AI290" s="433"/>
      <c r="AJ290" s="433"/>
      <c r="AK290" s="433"/>
      <c r="AL290" s="433"/>
      <c r="AM290" s="433"/>
      <c r="AN290" s="433"/>
      <c r="AO290" s="433"/>
    </row>
    <row r="291" spans="1:41" ht="19.899999999999999" customHeight="1">
      <c r="A291" s="666"/>
      <c r="B291" s="433"/>
      <c r="C291" s="433"/>
      <c r="D291" s="433"/>
      <c r="E291" s="433"/>
      <c r="F291" s="433"/>
      <c r="G291" s="433"/>
      <c r="H291" s="433"/>
      <c r="I291" s="433"/>
      <c r="J291" s="433"/>
      <c r="K291" s="433"/>
      <c r="M291" s="433"/>
      <c r="N291" s="433"/>
      <c r="O291" s="639"/>
      <c r="P291" s="433"/>
      <c r="Q291" s="1235"/>
      <c r="R291" s="433"/>
      <c r="S291" s="433"/>
      <c r="T291" s="433"/>
      <c r="U291" s="433"/>
      <c r="V291" s="433"/>
      <c r="W291" s="21"/>
      <c r="X291" s="21"/>
      <c r="Y291" s="1232"/>
      <c r="Z291" s="1234"/>
      <c r="AA291" s="1234"/>
      <c r="AB291" s="1234"/>
      <c r="AC291" s="1234"/>
      <c r="AD291" s="433"/>
      <c r="AE291" s="433"/>
      <c r="AF291" s="433"/>
      <c r="AG291" s="446"/>
      <c r="AH291" s="433"/>
      <c r="AI291" s="433"/>
      <c r="AJ291" s="433"/>
      <c r="AK291" s="433"/>
      <c r="AL291" s="433"/>
      <c r="AM291" s="433"/>
      <c r="AN291" s="433"/>
      <c r="AO291" s="433"/>
    </row>
    <row r="292" spans="1:41" ht="19.899999999999999" customHeight="1">
      <c r="A292" s="666"/>
      <c r="B292" s="433"/>
      <c r="C292" s="433"/>
      <c r="D292" s="433"/>
      <c r="E292" s="433"/>
      <c r="F292" s="433"/>
      <c r="G292" s="433"/>
      <c r="H292" s="433"/>
      <c r="I292" s="433"/>
      <c r="J292" s="433"/>
      <c r="K292" s="433"/>
      <c r="M292" s="433"/>
      <c r="N292" s="433"/>
      <c r="O292" s="639"/>
      <c r="P292" s="433"/>
      <c r="Q292" s="433"/>
      <c r="R292" s="1235"/>
      <c r="S292" s="433"/>
      <c r="T292" s="433"/>
      <c r="U292" s="433"/>
      <c r="V292" s="433"/>
      <c r="W292" s="21"/>
      <c r="X292" s="21"/>
      <c r="Y292" s="1232"/>
      <c r="Z292" s="1234"/>
      <c r="AA292" s="1234"/>
      <c r="AB292" s="1234"/>
      <c r="AC292" s="1234"/>
      <c r="AD292" s="433"/>
      <c r="AE292" s="433"/>
      <c r="AF292" s="433"/>
      <c r="AG292" s="446"/>
      <c r="AH292" s="433"/>
      <c r="AI292" s="433"/>
      <c r="AJ292" s="433"/>
      <c r="AK292" s="433"/>
      <c r="AL292" s="433"/>
      <c r="AM292" s="433"/>
      <c r="AN292" s="433"/>
      <c r="AO292" s="433"/>
    </row>
    <row r="293" spans="1:41" ht="19.899999999999999" customHeight="1">
      <c r="A293" s="666"/>
      <c r="B293" s="433"/>
      <c r="C293" s="433"/>
      <c r="D293" s="433"/>
      <c r="E293" s="433"/>
      <c r="F293" s="433"/>
      <c r="G293" s="433"/>
      <c r="H293" s="433"/>
      <c r="I293" s="433"/>
      <c r="J293" s="433"/>
      <c r="K293" s="433"/>
      <c r="M293" s="433"/>
      <c r="N293" s="433"/>
      <c r="O293" s="639"/>
      <c r="P293" s="433"/>
      <c r="Q293" s="433"/>
      <c r="R293" s="433"/>
      <c r="S293" s="611"/>
      <c r="T293" s="433"/>
      <c r="U293" s="433"/>
      <c r="V293" s="433"/>
      <c r="W293" s="21"/>
      <c r="X293" s="21"/>
      <c r="Y293" s="1232"/>
      <c r="Z293" s="1234"/>
      <c r="AA293" s="1234"/>
      <c r="AB293" s="1234"/>
      <c r="AC293" s="1234"/>
      <c r="AD293" s="433"/>
      <c r="AE293" s="433"/>
      <c r="AF293" s="433"/>
      <c r="AG293" s="446"/>
      <c r="AH293" s="433"/>
      <c r="AI293" s="433"/>
      <c r="AJ293" s="433"/>
      <c r="AK293" s="433"/>
      <c r="AL293" s="433"/>
      <c r="AM293" s="433"/>
      <c r="AN293" s="433"/>
      <c r="AO293" s="433"/>
    </row>
    <row r="294" spans="1:41" ht="19.899999999999999" customHeight="1">
      <c r="A294" s="666"/>
      <c r="B294" s="433"/>
      <c r="C294" s="433"/>
      <c r="D294" s="433"/>
      <c r="E294" s="433"/>
      <c r="F294" s="433"/>
      <c r="G294" s="433"/>
      <c r="H294" s="433"/>
      <c r="I294" s="433"/>
      <c r="J294" s="433"/>
      <c r="K294" s="433"/>
      <c r="M294" s="433"/>
      <c r="N294" s="433"/>
      <c r="O294" s="639"/>
      <c r="P294" s="433"/>
      <c r="Q294" s="433"/>
      <c r="R294" s="433"/>
      <c r="S294" s="611"/>
      <c r="T294" s="433"/>
      <c r="U294" s="433"/>
      <c r="V294" s="433"/>
      <c r="W294" s="21"/>
      <c r="X294" s="21"/>
      <c r="Y294" s="1232"/>
      <c r="Z294" s="1234"/>
      <c r="AA294" s="1234"/>
      <c r="AB294" s="1234"/>
      <c r="AC294" s="1234"/>
      <c r="AD294" s="433"/>
      <c r="AE294" s="433"/>
      <c r="AF294" s="433"/>
      <c r="AG294" s="446"/>
      <c r="AH294" s="433"/>
      <c r="AI294" s="433"/>
      <c r="AJ294" s="441"/>
      <c r="AK294" s="441"/>
      <c r="AL294" s="433"/>
      <c r="AM294" s="433"/>
      <c r="AN294" s="433"/>
      <c r="AO294" s="433"/>
    </row>
    <row r="295" spans="1:41" ht="19.899999999999999" customHeight="1">
      <c r="A295" s="666"/>
      <c r="B295" s="433"/>
      <c r="C295" s="433"/>
      <c r="D295" s="433"/>
      <c r="E295" s="433"/>
      <c r="F295" s="433"/>
      <c r="G295" s="433"/>
      <c r="H295" s="433"/>
      <c r="I295" s="433"/>
      <c r="J295" s="433"/>
      <c r="K295" s="433"/>
      <c r="M295" s="433"/>
      <c r="N295" s="433"/>
      <c r="O295" s="433"/>
      <c r="P295" s="433"/>
      <c r="Q295" s="433"/>
      <c r="R295" s="611"/>
      <c r="S295" s="611"/>
      <c r="T295" s="433"/>
      <c r="U295" s="433"/>
      <c r="V295" s="433"/>
      <c r="W295" s="433"/>
      <c r="X295" s="433"/>
      <c r="Y295" s="433"/>
      <c r="Z295" s="433"/>
      <c r="AA295" s="433"/>
      <c r="AB295" s="433"/>
      <c r="AC295" s="433"/>
      <c r="AD295" s="433"/>
      <c r="AE295" s="433"/>
      <c r="AF295" s="433"/>
      <c r="AG295" s="446"/>
      <c r="AH295" s="433"/>
      <c r="AI295" s="433"/>
      <c r="AJ295" s="441"/>
      <c r="AK295" s="441"/>
      <c r="AL295" s="433"/>
      <c r="AM295" s="433"/>
      <c r="AN295" s="433"/>
      <c r="AO295" s="433"/>
    </row>
    <row r="296" spans="1:41" ht="19.899999999999999" customHeight="1">
      <c r="A296" s="666"/>
      <c r="B296" s="433"/>
      <c r="C296" s="433"/>
      <c r="D296" s="433"/>
      <c r="E296" s="433"/>
      <c r="F296" s="433"/>
      <c r="G296" s="433"/>
      <c r="H296" s="433"/>
      <c r="I296" s="433"/>
      <c r="J296" s="433"/>
      <c r="K296" s="433"/>
      <c r="M296" s="433"/>
      <c r="N296" s="433"/>
      <c r="O296" s="433"/>
      <c r="P296" s="433"/>
      <c r="Q296" s="433"/>
      <c r="R296" s="611"/>
      <c r="S296" s="1716"/>
      <c r="T296" s="1716"/>
      <c r="U296" s="1716"/>
      <c r="V296" s="1716"/>
      <c r="W296" s="1716"/>
      <c r="X296" s="1716"/>
      <c r="Y296" s="1716"/>
      <c r="Z296" s="1716"/>
      <c r="AA296" s="1716"/>
      <c r="AB296" s="1716"/>
      <c r="AC296" s="1716"/>
      <c r="AD296" s="1716"/>
      <c r="AE296" s="1716"/>
      <c r="AF296" s="1716"/>
      <c r="AG296" s="456"/>
      <c r="AH296" s="433"/>
      <c r="AI296" s="433"/>
      <c r="AJ296" s="441"/>
      <c r="AK296" s="441"/>
      <c r="AL296" s="433"/>
      <c r="AM296" s="433"/>
      <c r="AN296" s="433"/>
      <c r="AO296" s="433"/>
    </row>
    <row r="297" spans="1:41" ht="19.899999999999999" customHeight="1">
      <c r="A297" s="666"/>
      <c r="B297" s="433"/>
      <c r="C297" s="433"/>
      <c r="D297" s="433"/>
      <c r="E297" s="433"/>
      <c r="F297" s="433"/>
      <c r="G297" s="433"/>
      <c r="H297" s="433"/>
      <c r="I297" s="433"/>
      <c r="J297" s="433"/>
      <c r="K297" s="433"/>
      <c r="M297" s="433"/>
      <c r="N297" s="433"/>
      <c r="O297" s="433"/>
      <c r="P297" s="433"/>
      <c r="Q297" s="433"/>
      <c r="R297" s="433"/>
      <c r="S297" s="1715"/>
      <c r="T297" s="1715"/>
      <c r="U297" s="1715"/>
      <c r="V297" s="1715"/>
      <c r="W297" s="1715"/>
      <c r="X297" s="1715"/>
      <c r="Y297" s="1715"/>
      <c r="Z297" s="1715"/>
      <c r="AA297" s="1715"/>
      <c r="AB297" s="1715"/>
      <c r="AC297" s="1715"/>
      <c r="AD297" s="1715"/>
      <c r="AE297" s="1715"/>
      <c r="AF297" s="1715"/>
      <c r="AG297" s="446"/>
      <c r="AH297" s="433"/>
      <c r="AI297" s="433"/>
      <c r="AJ297" s="441"/>
      <c r="AK297" s="441"/>
      <c r="AL297" s="433"/>
      <c r="AM297" s="433"/>
      <c r="AN297" s="433"/>
      <c r="AO297" s="433"/>
    </row>
    <row r="298" spans="1:41" ht="19.899999999999999" customHeight="1">
      <c r="A298" s="666"/>
      <c r="B298" s="433"/>
      <c r="C298" s="433"/>
      <c r="D298" s="433"/>
      <c r="E298" s="433"/>
      <c r="F298" s="433"/>
      <c r="G298" s="433"/>
      <c r="H298" s="433"/>
      <c r="I298" s="433"/>
      <c r="J298" s="433"/>
      <c r="K298" s="433"/>
      <c r="M298" s="441"/>
      <c r="N298" s="433"/>
      <c r="O298" s="433"/>
      <c r="P298" s="433"/>
      <c r="Q298" s="433"/>
      <c r="R298" s="433"/>
      <c r="S298" s="433"/>
      <c r="T298" s="433"/>
      <c r="U298" s="433"/>
      <c r="V298" s="433"/>
      <c r="W298" s="433"/>
      <c r="X298" s="433"/>
      <c r="Y298" s="433"/>
      <c r="Z298" s="433"/>
      <c r="AA298" s="433"/>
      <c r="AB298" s="433"/>
      <c r="AC298" s="433"/>
      <c r="AD298" s="433"/>
      <c r="AE298" s="433"/>
      <c r="AF298" s="433"/>
      <c r="AG298" s="446"/>
      <c r="AH298" s="433"/>
      <c r="AI298" s="433"/>
      <c r="AJ298" s="441"/>
      <c r="AK298" s="441"/>
      <c r="AL298" s="433"/>
      <c r="AM298" s="433"/>
      <c r="AN298" s="433"/>
      <c r="AO298" s="433"/>
    </row>
    <row r="299" spans="1:41" ht="19.899999999999999" customHeight="1">
      <c r="A299" s="666"/>
      <c r="B299" s="433"/>
      <c r="C299" s="433"/>
      <c r="D299" s="433"/>
      <c r="E299" s="433"/>
      <c r="F299" s="433"/>
      <c r="G299" s="433"/>
      <c r="H299" s="433"/>
      <c r="I299" s="433"/>
      <c r="J299" s="433"/>
      <c r="K299" s="433"/>
      <c r="M299" s="441"/>
      <c r="N299" s="433"/>
      <c r="O299" s="433"/>
      <c r="P299" s="433"/>
      <c r="Q299" s="433"/>
      <c r="R299" s="433"/>
      <c r="S299" s="433"/>
      <c r="T299" s="433"/>
      <c r="U299" s="433"/>
      <c r="V299" s="433"/>
      <c r="W299" s="433"/>
      <c r="X299" s="433"/>
      <c r="Y299" s="433"/>
      <c r="Z299" s="433"/>
      <c r="AA299" s="433"/>
      <c r="AB299" s="433"/>
      <c r="AC299" s="433"/>
      <c r="AD299" s="433"/>
      <c r="AE299" s="433"/>
      <c r="AF299" s="433"/>
      <c r="AG299" s="446"/>
      <c r="AH299" s="433"/>
      <c r="AI299" s="433"/>
      <c r="AJ299" s="441"/>
      <c r="AK299" s="441"/>
      <c r="AL299" s="433"/>
      <c r="AM299" s="433"/>
      <c r="AN299" s="433"/>
      <c r="AO299" s="433"/>
    </row>
    <row r="300" spans="1:41" ht="19.899999999999999" customHeight="1">
      <c r="A300" s="666"/>
      <c r="B300" s="433"/>
      <c r="C300" s="433"/>
      <c r="D300" s="433"/>
      <c r="E300" s="433"/>
      <c r="F300" s="433"/>
      <c r="G300" s="433"/>
      <c r="H300" s="433"/>
      <c r="I300" s="433"/>
      <c r="J300" s="433"/>
      <c r="K300" s="433"/>
      <c r="M300" s="441"/>
      <c r="N300" s="433"/>
      <c r="O300" s="433"/>
      <c r="P300" s="433"/>
      <c r="Q300" s="433"/>
      <c r="R300" s="433"/>
      <c r="S300" s="433"/>
      <c r="T300" s="433"/>
      <c r="U300" s="433"/>
      <c r="V300" s="433"/>
      <c r="W300" s="433"/>
      <c r="X300" s="433"/>
      <c r="Y300" s="433"/>
      <c r="Z300" s="433"/>
      <c r="AA300" s="433"/>
      <c r="AB300" s="433"/>
      <c r="AC300" s="433"/>
      <c r="AD300" s="433"/>
      <c r="AE300" s="433"/>
      <c r="AF300" s="433"/>
      <c r="AG300" s="446"/>
      <c r="AH300" s="433"/>
      <c r="AI300" s="433"/>
      <c r="AJ300" s="441"/>
      <c r="AK300" s="441"/>
      <c r="AL300" s="433"/>
      <c r="AM300" s="433"/>
      <c r="AN300" s="433"/>
      <c r="AO300" s="433"/>
    </row>
    <row r="301" spans="1:41" ht="19.899999999999999" customHeight="1">
      <c r="A301" s="666"/>
      <c r="B301" s="433"/>
      <c r="C301" s="433"/>
      <c r="D301" s="433"/>
      <c r="E301" s="433"/>
      <c r="F301" s="433"/>
      <c r="G301" s="433"/>
      <c r="H301" s="433"/>
      <c r="I301" s="433"/>
      <c r="J301" s="433"/>
      <c r="K301" s="433"/>
      <c r="M301" s="1716"/>
      <c r="N301" s="433"/>
      <c r="O301" s="433"/>
      <c r="P301" s="433"/>
      <c r="Q301" s="433"/>
      <c r="R301" s="433"/>
      <c r="S301" s="433"/>
      <c r="T301" s="433"/>
      <c r="U301" s="433"/>
      <c r="V301" s="433"/>
      <c r="W301" s="433"/>
      <c r="X301" s="433"/>
      <c r="Y301" s="433"/>
      <c r="Z301" s="433"/>
      <c r="AA301" s="433"/>
      <c r="AB301" s="21"/>
      <c r="AC301" s="21"/>
      <c r="AD301" s="21"/>
      <c r="AE301" s="21"/>
      <c r="AF301" s="21"/>
      <c r="AG301" s="446"/>
      <c r="AH301" s="433"/>
      <c r="AI301" s="433"/>
      <c r="AJ301" s="433"/>
      <c r="AK301" s="441"/>
      <c r="AL301" s="433"/>
      <c r="AM301" s="433"/>
      <c r="AN301" s="433"/>
      <c r="AO301" s="433"/>
    </row>
    <row r="302" spans="1:41" ht="19.899999999999999" customHeight="1">
      <c r="A302" s="666"/>
      <c r="B302" s="433"/>
      <c r="C302" s="433"/>
      <c r="D302" s="433"/>
      <c r="E302" s="433"/>
      <c r="F302" s="433"/>
      <c r="G302" s="433"/>
      <c r="H302" s="433"/>
      <c r="I302" s="433"/>
      <c r="J302" s="433"/>
      <c r="K302" s="433"/>
      <c r="M302" s="1716"/>
      <c r="N302" s="433"/>
      <c r="O302" s="626"/>
      <c r="P302" s="626"/>
      <c r="Q302" s="433"/>
      <c r="R302" s="626"/>
      <c r="S302" s="433"/>
      <c r="T302" s="433"/>
      <c r="U302" s="433"/>
      <c r="V302" s="433"/>
      <c r="W302" s="433"/>
      <c r="X302" s="433"/>
      <c r="Y302" s="433"/>
      <c r="Z302" s="433"/>
      <c r="AA302" s="433"/>
      <c r="AB302" s="433"/>
      <c r="AC302" s="433"/>
      <c r="AD302" s="433"/>
      <c r="AE302" s="433"/>
      <c r="AF302" s="433"/>
      <c r="AG302" s="446"/>
      <c r="AH302" s="433"/>
      <c r="AI302" s="433"/>
      <c r="AJ302" s="433"/>
      <c r="AK302" s="441"/>
      <c r="AL302" s="433"/>
      <c r="AM302" s="433"/>
      <c r="AN302" s="433"/>
      <c r="AO302" s="433"/>
    </row>
    <row r="303" spans="1:41" ht="19.899999999999999" customHeight="1">
      <c r="A303" s="666"/>
      <c r="B303" s="433"/>
      <c r="C303" s="433"/>
      <c r="D303" s="433"/>
      <c r="E303" s="433"/>
      <c r="F303" s="433"/>
      <c r="G303" s="433"/>
      <c r="H303" s="433"/>
      <c r="I303" s="433"/>
      <c r="J303" s="433"/>
      <c r="K303" s="433"/>
      <c r="M303" s="441"/>
      <c r="N303" s="626"/>
      <c r="O303" s="626"/>
      <c r="P303" s="626"/>
      <c r="Q303" s="626"/>
      <c r="R303" s="626"/>
      <c r="S303" s="626"/>
      <c r="T303" s="626"/>
      <c r="U303" s="626"/>
      <c r="V303" s="626"/>
      <c r="W303" s="626"/>
      <c r="X303" s="626"/>
      <c r="Y303" s="626"/>
      <c r="Z303" s="626"/>
      <c r="AA303" s="626"/>
      <c r="AB303" s="626"/>
      <c r="AC303" s="626"/>
      <c r="AD303" s="626"/>
      <c r="AE303" s="626"/>
      <c r="AF303" s="626"/>
      <c r="AG303" s="446"/>
      <c r="AH303" s="433"/>
      <c r="AI303" s="433"/>
      <c r="AJ303" s="433"/>
      <c r="AK303" s="433"/>
      <c r="AL303" s="433"/>
      <c r="AM303" s="433"/>
      <c r="AN303" s="433"/>
      <c r="AO303" s="433"/>
    </row>
    <row r="304" spans="1:41" ht="19.899999999999999" customHeight="1">
      <c r="A304" s="666"/>
      <c r="B304" s="433"/>
      <c r="C304" s="433"/>
      <c r="D304" s="433"/>
      <c r="E304" s="433"/>
      <c r="F304" s="433"/>
      <c r="G304" s="433"/>
      <c r="H304" s="433"/>
      <c r="I304" s="433"/>
      <c r="J304" s="433"/>
      <c r="K304" s="433"/>
      <c r="M304" s="433"/>
      <c r="N304" s="433"/>
      <c r="O304" s="433"/>
      <c r="P304" s="433"/>
      <c r="Q304" s="433"/>
      <c r="R304" s="433"/>
      <c r="S304" s="433"/>
      <c r="T304" s="433"/>
      <c r="U304" s="433"/>
      <c r="V304" s="433"/>
      <c r="W304" s="433"/>
      <c r="X304" s="433"/>
      <c r="Y304" s="433"/>
      <c r="Z304" s="433"/>
      <c r="AA304" s="433"/>
      <c r="AB304" s="433"/>
      <c r="AC304" s="433"/>
      <c r="AD304" s="433"/>
      <c r="AE304" s="433"/>
      <c r="AF304" s="433"/>
      <c r="AG304" s="446"/>
      <c r="AH304" s="433"/>
      <c r="AI304" s="433"/>
      <c r="AJ304" s="433"/>
      <c r="AK304" s="433"/>
      <c r="AL304" s="433"/>
      <c r="AM304" s="433"/>
      <c r="AN304" s="433"/>
      <c r="AO304" s="433"/>
    </row>
    <row r="305" spans="1:41" ht="19.899999999999999" customHeight="1">
      <c r="A305" s="666"/>
      <c r="B305" s="433"/>
      <c r="C305" s="433"/>
      <c r="D305" s="433"/>
      <c r="E305" s="433"/>
      <c r="F305" s="433"/>
      <c r="G305" s="433"/>
      <c r="H305" s="433"/>
      <c r="I305" s="433"/>
      <c r="J305" s="433"/>
      <c r="K305" s="433"/>
      <c r="M305" s="1231"/>
      <c r="N305" s="1231"/>
      <c r="O305" s="1231"/>
      <c r="P305" s="1231"/>
      <c r="Q305" s="1231"/>
      <c r="R305" s="1231"/>
      <c r="S305" s="1231"/>
      <c r="T305" s="433"/>
      <c r="U305" s="1231"/>
      <c r="V305" s="1236"/>
      <c r="W305" s="1236"/>
      <c r="X305" s="1237"/>
      <c r="Y305" s="1237"/>
      <c r="Z305" s="1237"/>
      <c r="AA305" s="1237"/>
      <c r="AB305" s="21"/>
      <c r="AC305" s="21"/>
      <c r="AD305" s="433"/>
      <c r="AE305" s="433"/>
      <c r="AF305" s="433"/>
      <c r="AG305" s="446"/>
      <c r="AH305" s="433"/>
      <c r="AI305" s="433"/>
      <c r="AJ305" s="441"/>
      <c r="AK305" s="441"/>
      <c r="AL305" s="433"/>
      <c r="AM305" s="433"/>
      <c r="AN305" s="433"/>
      <c r="AO305" s="433"/>
    </row>
    <row r="306" spans="1:41" ht="19.899999999999999" customHeight="1">
      <c r="A306" s="666"/>
      <c r="B306" s="433"/>
      <c r="C306" s="433"/>
      <c r="D306" s="433"/>
      <c r="E306" s="433"/>
      <c r="F306" s="433"/>
      <c r="G306" s="433"/>
      <c r="H306" s="433"/>
      <c r="I306" s="433"/>
      <c r="J306" s="433"/>
      <c r="K306" s="433"/>
      <c r="M306" s="556"/>
      <c r="N306" s="556"/>
      <c r="O306" s="556"/>
      <c r="P306" s="556"/>
      <c r="Q306" s="556"/>
      <c r="R306" s="1238"/>
      <c r="S306" s="556"/>
      <c r="T306" s="556"/>
      <c r="U306" s="556"/>
      <c r="V306" s="556"/>
      <c r="W306" s="556"/>
      <c r="X306" s="556"/>
      <c r="Y306" s="556"/>
      <c r="Z306" s="556"/>
      <c r="AA306" s="556"/>
      <c r="AB306" s="21"/>
      <c r="AC306" s="21"/>
      <c r="AD306" s="433"/>
      <c r="AE306" s="433"/>
      <c r="AF306" s="433"/>
      <c r="AG306" s="446"/>
      <c r="AH306" s="433"/>
      <c r="AI306" s="21"/>
      <c r="AJ306" s="441"/>
      <c r="AK306" s="441"/>
      <c r="AL306" s="433"/>
      <c r="AM306" s="433"/>
      <c r="AN306" s="433"/>
      <c r="AO306" s="433"/>
    </row>
    <row r="307" spans="1:41" ht="19.899999999999999" customHeight="1">
      <c r="A307" s="666"/>
      <c r="B307" s="433"/>
      <c r="C307" s="433"/>
      <c r="D307" s="433"/>
      <c r="E307" s="433"/>
      <c r="F307" s="433"/>
      <c r="G307" s="433"/>
      <c r="H307" s="433"/>
      <c r="I307" s="433"/>
      <c r="J307" s="433"/>
      <c r="K307" s="433"/>
      <c r="M307" s="556"/>
      <c r="N307" s="565"/>
      <c r="O307" s="565"/>
      <c r="P307" s="565"/>
      <c r="Q307" s="565"/>
      <c r="R307" s="565"/>
      <c r="S307" s="1239"/>
      <c r="T307" s="556"/>
      <c r="U307" s="433"/>
      <c r="V307" s="556"/>
      <c r="W307" s="1240"/>
      <c r="X307" s="556"/>
      <c r="Y307" s="565"/>
      <c r="Z307" s="565"/>
      <c r="AA307" s="565"/>
      <c r="AB307" s="21"/>
      <c r="AC307" s="21"/>
      <c r="AD307" s="21"/>
      <c r="AE307" s="21"/>
      <c r="AF307" s="433"/>
      <c r="AG307" s="446"/>
      <c r="AH307" s="433"/>
      <c r="AI307" s="21"/>
      <c r="AJ307" s="433"/>
      <c r="AK307" s="441"/>
      <c r="AL307" s="433"/>
      <c r="AM307" s="433"/>
      <c r="AN307" s="433"/>
      <c r="AO307" s="433"/>
    </row>
    <row r="308" spans="1:41" ht="19.899999999999999" customHeight="1">
      <c r="A308" s="666"/>
      <c r="B308" s="433"/>
      <c r="C308" s="433"/>
      <c r="D308" s="433"/>
      <c r="E308" s="433"/>
      <c r="F308" s="433"/>
      <c r="G308" s="433"/>
      <c r="H308" s="433"/>
      <c r="I308" s="433"/>
      <c r="J308" s="433"/>
      <c r="K308" s="433"/>
      <c r="M308" s="556"/>
      <c r="N308" s="556"/>
      <c r="O308" s="565"/>
      <c r="P308" s="565"/>
      <c r="Q308" s="565"/>
      <c r="R308" s="556"/>
      <c r="S308" s="1239"/>
      <c r="T308" s="556"/>
      <c r="U308" s="433"/>
      <c r="V308" s="556"/>
      <c r="W308" s="1240"/>
      <c r="X308" s="556"/>
      <c r="Y308" s="565"/>
      <c r="Z308" s="565"/>
      <c r="AA308" s="565"/>
      <c r="AB308" s="21"/>
      <c r="AC308" s="21"/>
      <c r="AD308" s="21"/>
      <c r="AE308" s="21"/>
      <c r="AF308" s="433"/>
      <c r="AG308" s="446"/>
      <c r="AH308" s="433"/>
      <c r="AI308" s="21"/>
      <c r="AJ308" s="433"/>
      <c r="AK308" s="433"/>
      <c r="AL308" s="433"/>
      <c r="AM308" s="433"/>
      <c r="AN308" s="433"/>
      <c r="AO308" s="433"/>
    </row>
    <row r="309" spans="1:41" ht="19.899999999999999" customHeight="1">
      <c r="A309" s="666"/>
      <c r="B309" s="433"/>
      <c r="C309" s="433"/>
      <c r="D309" s="433"/>
      <c r="E309" s="433"/>
      <c r="F309" s="433"/>
      <c r="G309" s="433"/>
      <c r="H309" s="433"/>
      <c r="I309" s="433"/>
      <c r="J309" s="433"/>
      <c r="K309" s="433"/>
      <c r="M309" s="556"/>
      <c r="N309" s="556"/>
      <c r="O309" s="556"/>
      <c r="P309" s="556"/>
      <c r="Q309" s="556"/>
      <c r="R309" s="556"/>
      <c r="S309" s="1239"/>
      <c r="T309" s="556"/>
      <c r="U309" s="433"/>
      <c r="V309" s="21"/>
      <c r="W309" s="1240"/>
      <c r="X309" s="556"/>
      <c r="Y309" s="565"/>
      <c r="Z309" s="43"/>
      <c r="AA309" s="21"/>
      <c r="AB309" s="21"/>
      <c r="AC309" s="21"/>
      <c r="AD309" s="21"/>
      <c r="AE309" s="21"/>
      <c r="AF309" s="433"/>
      <c r="AG309" s="446"/>
      <c r="AH309" s="433"/>
      <c r="AI309" s="21"/>
      <c r="AJ309" s="433"/>
      <c r="AK309" s="433"/>
      <c r="AL309" s="433"/>
      <c r="AM309" s="433"/>
      <c r="AN309" s="433"/>
      <c r="AO309" s="433"/>
    </row>
    <row r="310" spans="1:41" ht="19.899999999999999" customHeight="1">
      <c r="A310" s="666"/>
      <c r="B310" s="433"/>
      <c r="C310" s="433"/>
      <c r="D310" s="433"/>
      <c r="E310" s="433"/>
      <c r="F310" s="433"/>
      <c r="G310" s="433"/>
      <c r="H310" s="433"/>
      <c r="I310" s="433"/>
      <c r="J310" s="433"/>
      <c r="K310" s="433"/>
      <c r="M310" s="556"/>
      <c r="N310" s="556"/>
      <c r="O310" s="556"/>
      <c r="P310" s="556"/>
      <c r="Q310" s="556"/>
      <c r="R310" s="565"/>
      <c r="S310" s="1239"/>
      <c r="T310" s="556"/>
      <c r="U310" s="433"/>
      <c r="V310" s="21"/>
      <c r="W310" s="1240"/>
      <c r="X310" s="556"/>
      <c r="Y310" s="565"/>
      <c r="Z310" s="43"/>
      <c r="AA310" s="21"/>
      <c r="AB310" s="21"/>
      <c r="AC310" s="21"/>
      <c r="AD310" s="21"/>
      <c r="AE310" s="21"/>
      <c r="AF310" s="433"/>
      <c r="AG310" s="446"/>
      <c r="AH310" s="433"/>
      <c r="AI310" s="21"/>
      <c r="AJ310" s="433"/>
      <c r="AK310" s="433"/>
      <c r="AL310" s="433"/>
      <c r="AM310" s="433"/>
      <c r="AN310" s="433"/>
      <c r="AO310" s="433"/>
    </row>
    <row r="311" spans="1:41" ht="19.899999999999999" customHeight="1">
      <c r="A311" s="666"/>
      <c r="B311" s="433"/>
      <c r="C311" s="433"/>
      <c r="D311" s="433"/>
      <c r="E311" s="433"/>
      <c r="F311" s="433"/>
      <c r="G311" s="433"/>
      <c r="H311" s="433"/>
      <c r="I311" s="433"/>
      <c r="J311" s="433"/>
      <c r="K311" s="433"/>
      <c r="M311" s="605"/>
      <c r="N311" s="605"/>
      <c r="O311" s="605"/>
      <c r="P311" s="605"/>
      <c r="Q311" s="605"/>
      <c r="R311" s="605"/>
      <c r="S311" s="1241"/>
      <c r="T311" s="556"/>
      <c r="U311" s="433"/>
      <c r="V311" s="556"/>
      <c r="W311" s="1240"/>
      <c r="X311" s="556"/>
      <c r="Y311" s="565"/>
      <c r="Z311" s="565"/>
      <c r="AA311" s="565"/>
      <c r="AB311" s="21"/>
      <c r="AC311" s="21"/>
      <c r="AD311" s="21"/>
      <c r="AE311" s="21"/>
      <c r="AF311" s="433"/>
      <c r="AG311" s="446"/>
      <c r="AH311" s="433"/>
      <c r="AI311" s="21"/>
      <c r="AJ311" s="433"/>
      <c r="AK311" s="433"/>
      <c r="AL311" s="433"/>
      <c r="AM311" s="433"/>
      <c r="AN311" s="433"/>
      <c r="AO311" s="433"/>
    </row>
    <row r="312" spans="1:41" ht="19.899999999999999" customHeight="1">
      <c r="A312" s="666"/>
      <c r="B312" s="433"/>
      <c r="C312" s="433"/>
      <c r="D312" s="433"/>
      <c r="E312" s="433"/>
      <c r="F312" s="433"/>
      <c r="G312" s="433"/>
      <c r="H312" s="433"/>
      <c r="I312" s="433"/>
      <c r="J312" s="433"/>
      <c r="K312" s="433"/>
      <c r="M312" s="605"/>
      <c r="N312" s="565"/>
      <c r="O312" s="556"/>
      <c r="P312" s="556"/>
      <c r="Q312" s="556"/>
      <c r="R312" s="556"/>
      <c r="S312" s="1241"/>
      <c r="T312" s="556"/>
      <c r="U312" s="433"/>
      <c r="V312" s="21"/>
      <c r="W312" s="1240"/>
      <c r="X312" s="556"/>
      <c r="Y312" s="565"/>
      <c r="Z312" s="43"/>
      <c r="AA312" s="21"/>
      <c r="AB312" s="595"/>
      <c r="AC312" s="595"/>
      <c r="AD312" s="433"/>
      <c r="AE312" s="433"/>
      <c r="AF312" s="433"/>
      <c r="AG312" s="446"/>
      <c r="AH312" s="433"/>
      <c r="AI312" s="21"/>
      <c r="AJ312" s="441"/>
      <c r="AK312" s="441"/>
      <c r="AL312" s="433"/>
      <c r="AM312" s="433"/>
      <c r="AN312" s="433"/>
      <c r="AO312" s="433"/>
    </row>
    <row r="313" spans="1:41" ht="19.899999999999999" customHeight="1">
      <c r="A313" s="666"/>
      <c r="B313" s="433"/>
      <c r="C313" s="433"/>
      <c r="D313" s="433"/>
      <c r="E313" s="433"/>
      <c r="F313" s="433"/>
      <c r="G313" s="433"/>
      <c r="H313" s="433"/>
      <c r="I313" s="433"/>
      <c r="J313" s="433"/>
      <c r="K313" s="433"/>
      <c r="M313" s="556"/>
      <c r="N313" s="556"/>
      <c r="O313" s="556"/>
      <c r="P313" s="556"/>
      <c r="Q313" s="556"/>
      <c r="R313" s="556"/>
      <c r="S313" s="1241"/>
      <c r="T313" s="556"/>
      <c r="U313" s="433"/>
      <c r="V313" s="556"/>
      <c r="W313" s="1240"/>
      <c r="X313" s="556"/>
      <c r="Y313" s="565"/>
      <c r="Z313" s="43"/>
      <c r="AA313" s="21"/>
      <c r="AB313" s="595"/>
      <c r="AC313" s="595"/>
      <c r="AD313" s="433"/>
      <c r="AE313" s="433"/>
      <c r="AF313" s="433"/>
      <c r="AG313" s="446"/>
      <c r="AH313" s="433"/>
      <c r="AI313" s="21"/>
      <c r="AJ313" s="441"/>
      <c r="AK313" s="433"/>
      <c r="AL313" s="433"/>
      <c r="AM313" s="441"/>
      <c r="AN313" s="433"/>
      <c r="AO313" s="433"/>
    </row>
    <row r="314" spans="1:41" ht="19.899999999999999" customHeight="1">
      <c r="A314" s="666"/>
      <c r="B314" s="433"/>
      <c r="C314" s="433"/>
      <c r="D314" s="433"/>
      <c r="E314" s="433"/>
      <c r="F314" s="433"/>
      <c r="G314" s="433"/>
      <c r="H314" s="433"/>
      <c r="I314" s="433"/>
      <c r="J314" s="433"/>
      <c r="K314" s="433"/>
      <c r="M314" s="556"/>
      <c r="N314" s="556"/>
      <c r="O314" s="556"/>
      <c r="P314" s="556"/>
      <c r="Q314" s="556"/>
      <c r="R314" s="556"/>
      <c r="S314" s="1242"/>
      <c r="T314" s="556"/>
      <c r="U314" s="433"/>
      <c r="V314" s="433"/>
      <c r="W314" s="1240"/>
      <c r="X314" s="433"/>
      <c r="Y314" s="565"/>
      <c r="Z314" s="43"/>
      <c r="AA314" s="21"/>
      <c r="AB314" s="605"/>
      <c r="AC314" s="605"/>
      <c r="AD314" s="433"/>
      <c r="AE314" s="433"/>
      <c r="AF314" s="433"/>
      <c r="AG314" s="446"/>
      <c r="AH314" s="433"/>
      <c r="AI314" s="21"/>
      <c r="AJ314" s="441"/>
      <c r="AK314" s="433"/>
      <c r="AL314" s="433"/>
      <c r="AM314" s="441"/>
      <c r="AN314" s="433"/>
      <c r="AO314" s="433"/>
    </row>
    <row r="315" spans="1:41" ht="19.899999999999999" customHeight="1">
      <c r="A315" s="666"/>
      <c r="B315" s="433"/>
      <c r="C315" s="433"/>
      <c r="D315" s="433"/>
      <c r="E315" s="433"/>
      <c r="F315" s="433"/>
      <c r="G315" s="433"/>
      <c r="H315" s="433"/>
      <c r="I315" s="433"/>
      <c r="J315" s="433"/>
      <c r="K315" s="433"/>
      <c r="M315" s="556"/>
      <c r="N315" s="565"/>
      <c r="O315" s="565"/>
      <c r="P315" s="556"/>
      <c r="Q315" s="556"/>
      <c r="R315" s="556"/>
      <c r="S315" s="1242"/>
      <c r="T315" s="556"/>
      <c r="U315" s="433"/>
      <c r="V315" s="433"/>
      <c r="W315" s="1240"/>
      <c r="X315" s="556"/>
      <c r="Y315" s="565"/>
      <c r="Z315" s="21"/>
      <c r="AA315" s="21"/>
      <c r="AB315" s="605"/>
      <c r="AC315" s="433"/>
      <c r="AD315" s="433"/>
      <c r="AE315" s="433"/>
      <c r="AF315" s="433"/>
      <c r="AG315" s="446"/>
      <c r="AH315" s="433"/>
      <c r="AI315" s="433"/>
      <c r="AJ315" s="441"/>
      <c r="AK315" s="433"/>
      <c r="AL315" s="447"/>
      <c r="AM315" s="433"/>
      <c r="AN315" s="433"/>
      <c r="AO315" s="441"/>
    </row>
    <row r="316" spans="1:41" ht="19.899999999999999" customHeight="1">
      <c r="A316" s="666"/>
      <c r="B316" s="433"/>
      <c r="C316" s="433"/>
      <c r="D316" s="433"/>
      <c r="E316" s="433"/>
      <c r="F316" s="433"/>
      <c r="G316" s="433"/>
      <c r="H316" s="433"/>
      <c r="I316" s="433"/>
      <c r="J316" s="433"/>
      <c r="K316" s="433"/>
      <c r="M316" s="556"/>
      <c r="N316" s="556"/>
      <c r="O316" s="556"/>
      <c r="P316" s="556"/>
      <c r="Q316" s="556"/>
      <c r="R316" s="556"/>
      <c r="S316" s="1242"/>
      <c r="T316" s="556"/>
      <c r="U316" s="433"/>
      <c r="V316" s="433"/>
      <c r="W316" s="626"/>
      <c r="X316" s="556"/>
      <c r="Y316" s="565"/>
      <c r="Z316" s="43"/>
      <c r="AA316" s="21"/>
      <c r="AB316" s="605"/>
      <c r="AC316" s="464"/>
      <c r="AD316" s="433"/>
      <c r="AE316" s="433"/>
      <c r="AF316" s="433"/>
      <c r="AG316" s="446"/>
      <c r="AH316" s="433"/>
      <c r="AI316" s="433"/>
      <c r="AJ316" s="441"/>
      <c r="AK316" s="433"/>
      <c r="AL316" s="611"/>
      <c r="AM316" s="433"/>
      <c r="AN316" s="433"/>
      <c r="AO316" s="433"/>
    </row>
    <row r="317" spans="1:41" ht="19.899999999999999" customHeight="1">
      <c r="A317" s="666"/>
      <c r="B317" s="433"/>
      <c r="C317" s="433"/>
      <c r="D317" s="433"/>
      <c r="E317" s="433"/>
      <c r="F317" s="433"/>
      <c r="G317" s="433"/>
      <c r="H317" s="433"/>
      <c r="I317" s="433"/>
      <c r="J317" s="433"/>
      <c r="K317" s="433"/>
      <c r="M317" s="556"/>
      <c r="N317" s="556"/>
      <c r="O317" s="556"/>
      <c r="P317" s="556"/>
      <c r="Q317" s="556"/>
      <c r="R317" s="556"/>
      <c r="S317" s="1242"/>
      <c r="T317" s="556"/>
      <c r="U317" s="433"/>
      <c r="V317" s="433"/>
      <c r="W317" s="626"/>
      <c r="X317" s="556"/>
      <c r="Y317" s="565"/>
      <c r="Z317" s="43"/>
      <c r="AA317" s="21"/>
      <c r="AB317" s="605"/>
      <c r="AC317" s="464"/>
      <c r="AD317" s="433"/>
      <c r="AE317" s="433"/>
      <c r="AF317" s="433"/>
      <c r="AG317" s="446"/>
      <c r="AH317" s="433"/>
      <c r="AI317" s="433"/>
      <c r="AJ317" s="441"/>
      <c r="AK317" s="433"/>
      <c r="AL317" s="611"/>
      <c r="AM317" s="433"/>
      <c r="AN317" s="433"/>
      <c r="AO317" s="433"/>
    </row>
    <row r="318" spans="1:41" ht="19.899999999999999" customHeight="1">
      <c r="A318" s="666"/>
      <c r="B318" s="433"/>
      <c r="C318" s="433"/>
      <c r="D318" s="433"/>
      <c r="E318" s="433"/>
      <c r="F318" s="433"/>
      <c r="G318" s="433"/>
      <c r="H318" s="433"/>
      <c r="I318" s="433"/>
      <c r="J318" s="433"/>
      <c r="K318" s="433"/>
      <c r="M318" s="441"/>
      <c r="N318" s="21"/>
      <c r="O318" s="21"/>
      <c r="P318" s="21"/>
      <c r="Q318" s="21"/>
      <c r="R318" s="21"/>
      <c r="S318" s="605"/>
      <c r="T318" s="556"/>
      <c r="U318" s="433"/>
      <c r="V318" s="556"/>
      <c r="W318" s="1240"/>
      <c r="X318" s="556"/>
      <c r="Y318" s="565"/>
      <c r="Z318" s="21"/>
      <c r="AA318" s="433"/>
      <c r="AB318" s="595"/>
      <c r="AC318" s="595"/>
      <c r="AD318" s="433"/>
      <c r="AE318" s="433"/>
      <c r="AF318" s="433"/>
      <c r="AG318" s="446"/>
      <c r="AH318" s="433"/>
      <c r="AI318" s="433"/>
      <c r="AJ318" s="433"/>
      <c r="AK318" s="433"/>
      <c r="AL318" s="433"/>
      <c r="AM318" s="433"/>
      <c r="AN318" s="433"/>
      <c r="AO318" s="433"/>
    </row>
    <row r="319" spans="1:41" ht="19.899999999999999" customHeight="1">
      <c r="A319" s="666"/>
      <c r="B319" s="433"/>
      <c r="C319" s="433"/>
      <c r="D319" s="433"/>
      <c r="E319" s="433"/>
      <c r="F319" s="433"/>
      <c r="G319" s="433"/>
      <c r="H319" s="433"/>
      <c r="I319" s="433"/>
      <c r="J319" s="433"/>
      <c r="K319" s="433"/>
      <c r="M319" s="21"/>
      <c r="N319" s="556"/>
      <c r="O319" s="556"/>
      <c r="P319" s="556"/>
      <c r="Q319" s="556"/>
      <c r="R319" s="556"/>
      <c r="S319" s="605"/>
      <c r="T319" s="556"/>
      <c r="U319" s="433"/>
      <c r="V319" s="21"/>
      <c r="W319" s="1240"/>
      <c r="X319" s="556"/>
      <c r="Y319" s="565"/>
      <c r="Z319" s="43"/>
      <c r="AA319" s="21"/>
      <c r="AB319" s="595"/>
      <c r="AC319" s="595"/>
      <c r="AD319" s="433"/>
      <c r="AE319" s="433"/>
      <c r="AF319" s="433"/>
      <c r="AG319" s="446"/>
      <c r="AH319" s="433"/>
      <c r="AI319" s="433"/>
      <c r="AJ319" s="433"/>
      <c r="AK319" s="433"/>
      <c r="AL319" s="433"/>
      <c r="AM319" s="433"/>
      <c r="AN319" s="433"/>
      <c r="AO319" s="433"/>
    </row>
    <row r="320" spans="1:41" ht="19.899999999999999" customHeight="1">
      <c r="A320" s="666"/>
      <c r="B320" s="433"/>
      <c r="C320" s="433"/>
      <c r="D320" s="433"/>
      <c r="E320" s="433"/>
      <c r="F320" s="433"/>
      <c r="G320" s="433"/>
      <c r="H320" s="433"/>
      <c r="I320" s="433"/>
      <c r="J320" s="433"/>
      <c r="K320" s="433"/>
      <c r="M320" s="556"/>
      <c r="N320" s="1243"/>
      <c r="O320" s="637"/>
      <c r="P320" s="458"/>
      <c r="Q320" s="458"/>
      <c r="R320" s="458"/>
      <c r="S320" s="21"/>
      <c r="T320" s="556"/>
      <c r="U320" s="433"/>
      <c r="V320" s="556"/>
      <c r="W320" s="1240"/>
      <c r="X320" s="556"/>
      <c r="Y320" s="565"/>
      <c r="Z320" s="43"/>
      <c r="AA320" s="21"/>
      <c r="AB320" s="595"/>
      <c r="AC320" s="595"/>
      <c r="AD320" s="433"/>
      <c r="AE320" s="433"/>
      <c r="AF320" s="433"/>
      <c r="AG320" s="446"/>
      <c r="AH320" s="433"/>
      <c r="AI320" s="433"/>
      <c r="AJ320" s="433"/>
      <c r="AK320" s="433"/>
      <c r="AL320" s="433"/>
      <c r="AM320" s="433"/>
      <c r="AN320" s="433"/>
      <c r="AO320" s="433"/>
    </row>
    <row r="321" spans="1:41" ht="19.899999999999999" customHeight="1">
      <c r="A321" s="666"/>
      <c r="B321" s="433"/>
      <c r="C321" s="433"/>
      <c r="D321" s="433"/>
      <c r="E321" s="433"/>
      <c r="F321" s="433"/>
      <c r="G321" s="433"/>
      <c r="H321" s="433"/>
      <c r="I321" s="433"/>
      <c r="J321" s="433"/>
      <c r="K321" s="433"/>
      <c r="M321" s="433"/>
      <c r="N321" s="1243"/>
      <c r="O321" s="637"/>
      <c r="P321" s="458"/>
      <c r="Q321" s="433"/>
      <c r="R321" s="21"/>
      <c r="S321" s="21"/>
      <c r="T321" s="556"/>
      <c r="U321" s="433"/>
      <c r="V321" s="433"/>
      <c r="W321" s="626"/>
      <c r="X321" s="433"/>
      <c r="Y321" s="565"/>
      <c r="Z321" s="43"/>
      <c r="AA321" s="21"/>
      <c r="AB321" s="605"/>
      <c r="AC321" s="595"/>
      <c r="AD321" s="433"/>
      <c r="AE321" s="433"/>
      <c r="AF321" s="433"/>
      <c r="AG321" s="446"/>
      <c r="AH321" s="433"/>
      <c r="AI321" s="433"/>
      <c r="AJ321" s="433"/>
      <c r="AK321" s="433"/>
      <c r="AL321" s="433"/>
      <c r="AM321" s="433"/>
      <c r="AN321" s="433"/>
      <c r="AO321" s="433"/>
    </row>
    <row r="322" spans="1:41" ht="19.899999999999999" customHeight="1">
      <c r="A322" s="666"/>
      <c r="B322" s="433"/>
      <c r="C322" s="433"/>
      <c r="D322" s="433"/>
      <c r="E322" s="433"/>
      <c r="F322" s="433"/>
      <c r="G322" s="433"/>
      <c r="H322" s="433"/>
      <c r="I322" s="433"/>
      <c r="J322" s="433"/>
      <c r="K322" s="433"/>
      <c r="M322" s="433"/>
      <c r="N322" s="1243"/>
      <c r="O322" s="637"/>
      <c r="P322" s="458"/>
      <c r="Q322" s="433"/>
      <c r="R322" s="627"/>
      <c r="S322" s="21"/>
      <c r="T322" s="556"/>
      <c r="U322" s="433"/>
      <c r="V322" s="433"/>
      <c r="W322" s="626"/>
      <c r="X322" s="556"/>
      <c r="Y322" s="565"/>
      <c r="Z322" s="21"/>
      <c r="AA322" s="21"/>
      <c r="AB322" s="605"/>
      <c r="AC322" s="433"/>
      <c r="AD322" s="433"/>
      <c r="AE322" s="433"/>
      <c r="AF322" s="433"/>
      <c r="AG322" s="446"/>
      <c r="AH322" s="433"/>
      <c r="AI322" s="433"/>
      <c r="AJ322" s="433"/>
      <c r="AK322" s="433"/>
      <c r="AL322" s="433"/>
      <c r="AM322" s="433"/>
      <c r="AN322" s="433"/>
      <c r="AO322" s="433"/>
    </row>
    <row r="323" spans="1:41" ht="19.899999999999999" customHeight="1">
      <c r="A323" s="666"/>
      <c r="B323" s="433"/>
      <c r="C323" s="433"/>
      <c r="D323" s="433"/>
      <c r="E323" s="433"/>
      <c r="F323" s="433"/>
      <c r="G323" s="433"/>
      <c r="H323" s="433"/>
      <c r="I323" s="433"/>
      <c r="J323" s="433"/>
      <c r="K323" s="433"/>
      <c r="M323" s="21"/>
      <c r="N323" s="1243"/>
      <c r="O323" s="637"/>
      <c r="P323" s="458"/>
      <c r="Q323" s="21"/>
      <c r="R323" s="21"/>
      <c r="S323" s="21"/>
      <c r="T323" s="556"/>
      <c r="U323" s="433"/>
      <c r="V323" s="433"/>
      <c r="W323" s="626"/>
      <c r="X323" s="556"/>
      <c r="Y323" s="565"/>
      <c r="Z323" s="433"/>
      <c r="AA323" s="433"/>
      <c r="AB323" s="605"/>
      <c r="AC323" s="595"/>
      <c r="AD323" s="433"/>
      <c r="AE323" s="433"/>
      <c r="AF323" s="433"/>
      <c r="AG323" s="446"/>
      <c r="AH323" s="433"/>
      <c r="AI323" s="433"/>
      <c r="AJ323" s="433"/>
      <c r="AK323" s="433"/>
      <c r="AL323" s="433"/>
      <c r="AM323" s="433"/>
      <c r="AN323" s="433"/>
      <c r="AO323" s="433"/>
    </row>
    <row r="324" spans="1:41" ht="19.899999999999999" customHeight="1">
      <c r="A324" s="666"/>
      <c r="B324" s="433"/>
      <c r="C324" s="433"/>
      <c r="D324" s="433"/>
      <c r="E324" s="433"/>
      <c r="F324" s="433"/>
      <c r="G324" s="433"/>
      <c r="H324" s="433"/>
      <c r="I324" s="433"/>
      <c r="J324" s="433"/>
      <c r="K324" s="433"/>
      <c r="M324" s="433"/>
      <c r="N324" s="1243"/>
      <c r="O324" s="637"/>
      <c r="P324" s="458"/>
      <c r="Q324" s="433"/>
      <c r="R324" s="627"/>
      <c r="S324" s="21"/>
      <c r="T324" s="556"/>
      <c r="U324" s="433"/>
      <c r="V324" s="433"/>
      <c r="W324" s="626"/>
      <c r="X324" s="556"/>
      <c r="Y324" s="565"/>
      <c r="Z324" s="433"/>
      <c r="AA324" s="433"/>
      <c r="AB324" s="605"/>
      <c r="AC324" s="595"/>
      <c r="AD324" s="433"/>
      <c r="AE324" s="433"/>
      <c r="AF324" s="433"/>
      <c r="AG324" s="446"/>
      <c r="AH324" s="433"/>
      <c r="AI324" s="433"/>
      <c r="AJ324" s="433"/>
      <c r="AK324" s="433"/>
      <c r="AL324" s="433"/>
      <c r="AM324" s="433"/>
      <c r="AN324" s="433"/>
      <c r="AO324" s="433"/>
    </row>
    <row r="325" spans="1:41" ht="19.899999999999999" customHeight="1">
      <c r="A325" s="666"/>
      <c r="B325" s="433"/>
      <c r="C325" s="433"/>
      <c r="D325" s="433"/>
      <c r="E325" s="433"/>
      <c r="F325" s="433"/>
      <c r="G325" s="433"/>
      <c r="H325" s="433"/>
      <c r="I325" s="433"/>
      <c r="J325" s="433"/>
      <c r="K325" s="433"/>
      <c r="M325" s="21"/>
      <c r="N325" s="1243"/>
      <c r="O325" s="637"/>
      <c r="P325" s="458"/>
      <c r="Q325" s="21"/>
      <c r="R325" s="627"/>
      <c r="S325" s="21"/>
      <c r="T325" s="556"/>
      <c r="U325" s="433"/>
      <c r="V325" s="433"/>
      <c r="W325" s="1240"/>
      <c r="X325" s="556"/>
      <c r="Y325" s="565"/>
      <c r="Z325" s="21"/>
      <c r="AA325" s="21"/>
      <c r="AB325" s="595"/>
      <c r="AC325" s="595"/>
      <c r="AD325" s="433"/>
      <c r="AE325" s="433"/>
      <c r="AF325" s="433"/>
      <c r="AG325" s="446"/>
      <c r="AH325" s="433"/>
      <c r="AI325" s="433"/>
      <c r="AJ325" s="433"/>
      <c r="AK325" s="433"/>
      <c r="AL325" s="433"/>
      <c r="AM325" s="433"/>
      <c r="AN325" s="433"/>
      <c r="AO325" s="433"/>
    </row>
    <row r="326" spans="1:41" ht="19.899999999999999" customHeight="1">
      <c r="A326" s="666"/>
      <c r="B326" s="433"/>
      <c r="C326" s="433"/>
      <c r="D326" s="433"/>
      <c r="E326" s="433"/>
      <c r="F326" s="433"/>
      <c r="G326" s="433"/>
      <c r="H326" s="433"/>
      <c r="I326" s="433"/>
      <c r="J326" s="433"/>
      <c r="K326" s="433"/>
      <c r="M326" s="21"/>
      <c r="N326" s="1243"/>
      <c r="O326" s="637"/>
      <c r="P326" s="458"/>
      <c r="Q326" s="21"/>
      <c r="R326" s="433"/>
      <c r="S326" s="21"/>
      <c r="T326" s="556"/>
      <c r="U326" s="433"/>
      <c r="V326" s="433"/>
      <c r="W326" s="1240"/>
      <c r="X326" s="556"/>
      <c r="Y326" s="565"/>
      <c r="Z326" s="21"/>
      <c r="AA326" s="21"/>
      <c r="AB326" s="595"/>
      <c r="AC326" s="595"/>
      <c r="AD326" s="433"/>
      <c r="AE326" s="433"/>
      <c r="AF326" s="433"/>
      <c r="AG326" s="446"/>
      <c r="AH326" s="433"/>
      <c r="AI326" s="433"/>
      <c r="AJ326" s="433"/>
      <c r="AK326" s="433"/>
      <c r="AL326" s="433"/>
      <c r="AM326" s="433"/>
      <c r="AN326" s="433"/>
      <c r="AO326" s="433"/>
    </row>
    <row r="327" spans="1:41" ht="19.899999999999999" customHeight="1">
      <c r="A327" s="666"/>
      <c r="B327" s="433"/>
      <c r="C327" s="433"/>
      <c r="D327" s="433"/>
      <c r="E327" s="433"/>
      <c r="F327" s="433"/>
      <c r="G327" s="433"/>
      <c r="H327" s="433"/>
      <c r="I327" s="433"/>
      <c r="J327" s="433"/>
      <c r="K327" s="433"/>
      <c r="M327" s="21"/>
      <c r="N327" s="1243"/>
      <c r="O327" s="637"/>
      <c r="P327" s="458"/>
      <c r="Q327" s="21"/>
      <c r="R327" s="43"/>
      <c r="S327" s="21"/>
      <c r="T327" s="556"/>
      <c r="U327" s="433"/>
      <c r="V327" s="21"/>
      <c r="W327" s="1240"/>
      <c r="X327" s="433"/>
      <c r="Y327" s="565"/>
      <c r="Z327" s="21"/>
      <c r="AA327" s="21"/>
      <c r="AB327" s="595"/>
      <c r="AC327" s="595"/>
      <c r="AD327" s="433"/>
      <c r="AE327" s="433"/>
      <c r="AF327" s="433"/>
      <c r="AG327" s="446"/>
      <c r="AH327" s="433"/>
      <c r="AI327" s="433"/>
      <c r="AJ327" s="433"/>
      <c r="AK327" s="433"/>
      <c r="AL327" s="433"/>
      <c r="AM327" s="433"/>
      <c r="AN327" s="433"/>
      <c r="AO327" s="433"/>
    </row>
    <row r="328" spans="1:41" ht="19.899999999999999" customHeight="1">
      <c r="A328" s="666"/>
      <c r="B328" s="433"/>
      <c r="C328" s="433"/>
      <c r="D328" s="433"/>
      <c r="E328" s="433"/>
      <c r="F328" s="433"/>
      <c r="G328" s="433"/>
      <c r="H328" s="433"/>
      <c r="I328" s="433"/>
      <c r="J328" s="433"/>
      <c r="K328" s="433"/>
      <c r="M328" s="21"/>
      <c r="N328" s="1243"/>
      <c r="O328" s="637"/>
      <c r="P328" s="458"/>
      <c r="Q328" s="21"/>
      <c r="R328" s="433"/>
      <c r="S328" s="21"/>
      <c r="T328" s="556"/>
      <c r="U328" s="433"/>
      <c r="V328" s="21"/>
      <c r="W328" s="1240"/>
      <c r="X328" s="433"/>
      <c r="Y328" s="565"/>
      <c r="Z328" s="21"/>
      <c r="AA328" s="21"/>
      <c r="AB328" s="595"/>
      <c r="AC328" s="595"/>
      <c r="AD328" s="433"/>
      <c r="AE328" s="433"/>
      <c r="AF328" s="433"/>
      <c r="AG328" s="446"/>
      <c r="AH328" s="433"/>
      <c r="AI328" s="433"/>
      <c r="AJ328" s="433"/>
      <c r="AK328" s="433"/>
      <c r="AL328" s="433"/>
      <c r="AM328" s="433"/>
      <c r="AN328" s="433"/>
      <c r="AO328" s="433"/>
    </row>
    <row r="329" spans="1:41" ht="19.899999999999999" customHeight="1">
      <c r="A329" s="666"/>
      <c r="B329" s="433"/>
      <c r="C329" s="433"/>
      <c r="D329" s="433"/>
      <c r="E329" s="433"/>
      <c r="F329" s="433"/>
      <c r="G329" s="433"/>
      <c r="H329" s="433"/>
      <c r="I329" s="433"/>
      <c r="J329" s="433"/>
      <c r="K329" s="433"/>
      <c r="M329" s="21"/>
      <c r="N329" s="637"/>
      <c r="O329" s="637"/>
      <c r="P329" s="458"/>
      <c r="Q329" s="458"/>
      <c r="R329" s="433"/>
      <c r="S329" s="21"/>
      <c r="T329" s="556"/>
      <c r="U329" s="433"/>
      <c r="V329" s="21"/>
      <c r="W329" s="1240"/>
      <c r="X329" s="433"/>
      <c r="Y329" s="565"/>
      <c r="Z329" s="21"/>
      <c r="AA329" s="21"/>
      <c r="AB329" s="595"/>
      <c r="AC329" s="595"/>
      <c r="AD329" s="433"/>
      <c r="AE329" s="433"/>
      <c r="AF329" s="433"/>
      <c r="AG329" s="446"/>
      <c r="AH329" s="433"/>
      <c r="AI329" s="433"/>
      <c r="AJ329" s="433"/>
      <c r="AK329" s="433"/>
      <c r="AL329" s="433"/>
      <c r="AM329" s="433"/>
      <c r="AN329" s="433"/>
      <c r="AO329" s="433"/>
    </row>
    <row r="330" spans="1:41" ht="19.899999999999999" customHeight="1">
      <c r="A330" s="666"/>
      <c r="B330" s="433"/>
      <c r="C330" s="433"/>
      <c r="D330" s="433"/>
      <c r="E330" s="433"/>
      <c r="F330" s="433"/>
      <c r="G330" s="433"/>
      <c r="H330" s="433"/>
      <c r="I330" s="433"/>
      <c r="J330" s="433"/>
      <c r="K330" s="433"/>
      <c r="M330" s="433"/>
      <c r="N330" s="433"/>
      <c r="O330" s="433"/>
      <c r="P330" s="639"/>
      <c r="Q330" s="433"/>
      <c r="R330" s="433"/>
      <c r="S330" s="21"/>
      <c r="T330" s="556"/>
      <c r="U330" s="433"/>
      <c r="V330" s="433"/>
      <c r="W330" s="1240"/>
      <c r="X330" s="556"/>
      <c r="Y330" s="565"/>
      <c r="Z330" s="21"/>
      <c r="AA330" s="21"/>
      <c r="AB330" s="433"/>
      <c r="AC330" s="433"/>
      <c r="AD330" s="433"/>
      <c r="AE330" s="433"/>
      <c r="AF330" s="433"/>
      <c r="AG330" s="446"/>
      <c r="AH330" s="433"/>
      <c r="AI330" s="433"/>
      <c r="AJ330" s="433"/>
      <c r="AK330" s="433"/>
      <c r="AL330" s="433"/>
      <c r="AM330" s="433"/>
      <c r="AN330" s="433"/>
      <c r="AO330" s="433"/>
    </row>
    <row r="331" spans="1:41" ht="19.899999999999999" customHeight="1">
      <c r="A331" s="666"/>
      <c r="B331" s="433"/>
      <c r="C331" s="433"/>
      <c r="D331" s="433"/>
      <c r="E331" s="433"/>
      <c r="F331" s="433"/>
      <c r="G331" s="433"/>
      <c r="H331" s="433"/>
      <c r="I331" s="433"/>
      <c r="J331" s="433"/>
      <c r="K331" s="433"/>
      <c r="M331" s="433"/>
      <c r="N331" s="433"/>
      <c r="O331" s="433"/>
      <c r="P331" s="639"/>
      <c r="Q331" s="433"/>
      <c r="R331" s="433"/>
      <c r="S331" s="433"/>
      <c r="T331" s="556"/>
      <c r="U331" s="433"/>
      <c r="V331" s="433"/>
      <c r="W331" s="1240"/>
      <c r="X331" s="556"/>
      <c r="Y331" s="565"/>
      <c r="Z331" s="433"/>
      <c r="AA331" s="433"/>
      <c r="AB331" s="433"/>
      <c r="AC331" s="433"/>
      <c r="AD331" s="433"/>
      <c r="AE331" s="433"/>
      <c r="AF331" s="433"/>
      <c r="AG331" s="446"/>
      <c r="AH331" s="433"/>
      <c r="AI331" s="433"/>
      <c r="AJ331" s="433"/>
      <c r="AK331" s="433"/>
      <c r="AL331" s="433"/>
      <c r="AM331" s="433"/>
      <c r="AN331" s="433"/>
      <c r="AO331" s="433"/>
    </row>
    <row r="332" spans="1:41" ht="19.899999999999999" customHeight="1">
      <c r="A332" s="666"/>
      <c r="B332" s="433"/>
      <c r="C332" s="433"/>
      <c r="D332" s="433"/>
      <c r="E332" s="433"/>
      <c r="F332" s="433"/>
      <c r="G332" s="433"/>
      <c r="H332" s="433"/>
      <c r="I332" s="433"/>
      <c r="J332" s="433"/>
      <c r="K332" s="433"/>
      <c r="M332" s="433"/>
      <c r="N332" s="433"/>
      <c r="O332" s="433"/>
      <c r="P332" s="433"/>
      <c r="Q332" s="433"/>
      <c r="R332" s="433"/>
      <c r="S332" s="433"/>
      <c r="T332" s="556"/>
      <c r="U332" s="433"/>
      <c r="V332" s="433"/>
      <c r="W332" s="1240"/>
      <c r="X332" s="556"/>
      <c r="Y332" s="565"/>
      <c r="Z332" s="565"/>
      <c r="AA332" s="565"/>
      <c r="AB332" s="21"/>
      <c r="AC332" s="21"/>
      <c r="AD332" s="433"/>
      <c r="AE332" s="433"/>
      <c r="AF332" s="433"/>
      <c r="AG332" s="446"/>
      <c r="AH332" s="433"/>
      <c r="AI332" s="433"/>
      <c r="AJ332" s="433"/>
      <c r="AK332" s="433"/>
      <c r="AL332" s="433"/>
      <c r="AM332" s="433"/>
      <c r="AN332" s="433"/>
      <c r="AO332" s="433"/>
    </row>
    <row r="333" spans="1:41" ht="19.899999999999999" customHeight="1">
      <c r="A333" s="666"/>
      <c r="B333" s="433"/>
      <c r="C333" s="433"/>
      <c r="D333" s="433"/>
      <c r="E333" s="433"/>
      <c r="F333" s="433"/>
      <c r="G333" s="433"/>
      <c r="H333" s="433"/>
      <c r="I333" s="433"/>
      <c r="J333" s="433"/>
      <c r="K333" s="433"/>
      <c r="M333" s="433"/>
      <c r="N333" s="433"/>
      <c r="O333" s="433"/>
      <c r="P333" s="433"/>
      <c r="Q333" s="433"/>
      <c r="R333" s="433"/>
      <c r="S333" s="433"/>
      <c r="T333" s="556"/>
      <c r="U333" s="433"/>
      <c r="V333" s="433"/>
      <c r="W333" s="433"/>
      <c r="X333" s="433"/>
      <c r="Y333" s="433"/>
      <c r="Z333" s="433"/>
      <c r="AA333" s="433"/>
      <c r="AB333" s="433"/>
      <c r="AC333" s="433"/>
      <c r="AD333" s="433"/>
      <c r="AE333" s="433"/>
      <c r="AF333" s="433"/>
      <c r="AG333" s="446"/>
      <c r="AH333" s="433"/>
      <c r="AI333" s="433"/>
      <c r="AJ333" s="433"/>
      <c r="AK333" s="433"/>
      <c r="AL333" s="433"/>
      <c r="AM333" s="433"/>
      <c r="AN333" s="433"/>
      <c r="AO333" s="433"/>
    </row>
    <row r="334" spans="1:41" ht="19.899999999999999" customHeight="1">
      <c r="A334" s="666"/>
      <c r="B334" s="433"/>
      <c r="C334" s="433"/>
      <c r="D334" s="433"/>
      <c r="E334" s="433"/>
      <c r="F334" s="433"/>
      <c r="G334" s="433"/>
      <c r="H334" s="433"/>
      <c r="I334" s="433"/>
      <c r="J334" s="433"/>
      <c r="K334" s="433"/>
      <c r="M334" s="21"/>
      <c r="N334" s="565"/>
      <c r="O334" s="637"/>
      <c r="P334" s="458"/>
      <c r="Q334" s="21"/>
      <c r="R334" s="433"/>
      <c r="S334" s="21"/>
      <c r="T334" s="556"/>
      <c r="U334" s="433"/>
      <c r="V334" s="433"/>
      <c r="W334" s="433"/>
      <c r="X334" s="433"/>
      <c r="Y334" s="433"/>
      <c r="Z334" s="433"/>
      <c r="AA334" s="433"/>
      <c r="AB334" s="433"/>
      <c r="AC334" s="433"/>
      <c r="AD334" s="21"/>
      <c r="AE334" s="21"/>
      <c r="AF334" s="433"/>
      <c r="AG334" s="446"/>
      <c r="AH334" s="433"/>
      <c r="AI334" s="433"/>
      <c r="AJ334" s="433"/>
      <c r="AK334" s="433"/>
      <c r="AL334" s="433"/>
      <c r="AM334" s="433"/>
      <c r="AN334" s="433"/>
      <c r="AO334" s="433"/>
    </row>
    <row r="335" spans="1:41" ht="19.899999999999999" customHeight="1">
      <c r="A335" s="666"/>
      <c r="B335" s="433"/>
      <c r="C335" s="433"/>
      <c r="D335" s="433"/>
      <c r="E335" s="433"/>
      <c r="F335" s="433"/>
      <c r="G335" s="433"/>
      <c r="H335" s="433"/>
      <c r="I335" s="433"/>
      <c r="J335" s="433"/>
      <c r="K335" s="433"/>
      <c r="M335" s="433"/>
      <c r="N335" s="433"/>
      <c r="O335" s="433"/>
      <c r="P335" s="433"/>
      <c r="Q335" s="433"/>
      <c r="R335" s="433"/>
      <c r="S335" s="21"/>
      <c r="T335" s="556"/>
      <c r="U335" s="433"/>
      <c r="V335" s="433"/>
      <c r="W335" s="433"/>
      <c r="X335" s="433"/>
      <c r="Y335" s="433"/>
      <c r="Z335" s="433"/>
      <c r="AA335" s="433"/>
      <c r="AB335" s="433"/>
      <c r="AC335" s="433"/>
      <c r="AD335" s="21"/>
      <c r="AE335" s="21"/>
      <c r="AF335" s="433"/>
      <c r="AG335" s="446"/>
      <c r="AH335" s="433"/>
      <c r="AI335" s="433"/>
      <c r="AJ335" s="433"/>
      <c r="AK335" s="433"/>
      <c r="AL335" s="433"/>
      <c r="AM335" s="433"/>
      <c r="AN335" s="433"/>
      <c r="AO335" s="433"/>
    </row>
    <row r="336" spans="1:41" ht="19.899999999999999" customHeight="1">
      <c r="A336" s="666"/>
      <c r="B336" s="433"/>
      <c r="C336" s="433"/>
      <c r="D336" s="433"/>
      <c r="E336" s="433"/>
      <c r="F336" s="433"/>
      <c r="G336" s="433"/>
      <c r="H336" s="433"/>
      <c r="I336" s="433"/>
      <c r="J336" s="433"/>
      <c r="K336" s="433"/>
      <c r="M336" s="433"/>
      <c r="N336" s="433"/>
      <c r="O336" s="433"/>
      <c r="P336" s="433"/>
      <c r="Q336" s="433"/>
      <c r="R336" s="433"/>
      <c r="S336" s="21"/>
      <c r="T336" s="433"/>
      <c r="U336" s="433"/>
      <c r="V336" s="433"/>
      <c r="W336" s="433"/>
      <c r="X336" s="433"/>
      <c r="Y336" s="433"/>
      <c r="Z336" s="433"/>
      <c r="AA336" s="433"/>
      <c r="AB336" s="21"/>
      <c r="AC336" s="21"/>
      <c r="AD336" s="21"/>
      <c r="AE336" s="21"/>
      <c r="AF336" s="433"/>
      <c r="AG336" s="446"/>
      <c r="AH336" s="433"/>
      <c r="AI336" s="433"/>
      <c r="AJ336" s="433"/>
      <c r="AK336" s="433"/>
      <c r="AL336" s="433"/>
      <c r="AM336" s="433"/>
      <c r="AN336" s="433"/>
      <c r="AO336" s="433"/>
    </row>
    <row r="337" spans="1:41" ht="19.899999999999999" customHeight="1">
      <c r="A337" s="666"/>
      <c r="B337" s="433"/>
      <c r="C337" s="433"/>
      <c r="D337" s="433"/>
      <c r="E337" s="433"/>
      <c r="F337" s="433"/>
      <c r="G337" s="433"/>
      <c r="H337" s="433"/>
      <c r="I337" s="433"/>
      <c r="J337" s="433"/>
      <c r="K337" s="433"/>
      <c r="M337" s="433"/>
      <c r="N337" s="433"/>
      <c r="O337" s="433"/>
      <c r="P337" s="458"/>
      <c r="Q337" s="433"/>
      <c r="R337" s="433"/>
      <c r="S337" s="433"/>
      <c r="T337" s="556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433"/>
      <c r="AG337" s="446"/>
      <c r="AH337" s="433"/>
      <c r="AI337" s="433"/>
      <c r="AJ337" s="433"/>
      <c r="AK337" s="433"/>
      <c r="AL337" s="433"/>
      <c r="AM337" s="433"/>
      <c r="AN337" s="433"/>
      <c r="AO337" s="433"/>
    </row>
    <row r="338" spans="1:41" ht="19.899999999999999" customHeight="1">
      <c r="A338" s="666"/>
      <c r="B338" s="433"/>
      <c r="C338" s="433"/>
      <c r="D338" s="433"/>
      <c r="E338" s="433"/>
      <c r="F338" s="433"/>
      <c r="G338" s="433"/>
      <c r="H338" s="433"/>
      <c r="I338" s="433"/>
      <c r="J338" s="433"/>
      <c r="K338" s="433"/>
      <c r="M338" s="556"/>
      <c r="N338" s="565"/>
      <c r="O338" s="565"/>
      <c r="P338" s="565"/>
      <c r="Q338" s="565"/>
      <c r="R338" s="565"/>
      <c r="S338" s="1239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433"/>
      <c r="AG338" s="446"/>
      <c r="AH338" s="433"/>
      <c r="AI338" s="433"/>
      <c r="AJ338" s="433"/>
      <c r="AK338" s="433"/>
      <c r="AL338" s="433"/>
      <c r="AM338" s="433"/>
      <c r="AN338" s="433"/>
      <c r="AO338" s="433"/>
    </row>
    <row r="339" spans="1:41" ht="19.899999999999999" customHeight="1">
      <c r="A339" s="666"/>
      <c r="B339" s="433"/>
      <c r="C339" s="433"/>
      <c r="D339" s="433"/>
      <c r="E339" s="433"/>
      <c r="F339" s="433"/>
      <c r="G339" s="433"/>
      <c r="H339" s="433"/>
      <c r="I339" s="433"/>
      <c r="J339" s="433"/>
      <c r="K339" s="433"/>
      <c r="M339" s="21"/>
      <c r="N339" s="21"/>
      <c r="O339" s="43"/>
      <c r="P339" s="43"/>
      <c r="Q339" s="43"/>
      <c r="R339" s="21"/>
      <c r="S339" s="1244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433"/>
      <c r="AG339" s="446"/>
      <c r="AH339" s="433"/>
      <c r="AI339" s="433"/>
      <c r="AJ339" s="433"/>
      <c r="AK339" s="433"/>
      <c r="AL339" s="433"/>
      <c r="AM339" s="433"/>
      <c r="AN339" s="433"/>
      <c r="AO339" s="433"/>
    </row>
    <row r="340" spans="1:41" ht="19.899999999999999" customHeight="1">
      <c r="A340" s="666"/>
      <c r="B340" s="433"/>
      <c r="C340" s="433"/>
      <c r="D340" s="433"/>
      <c r="E340" s="433"/>
      <c r="F340" s="433"/>
      <c r="G340" s="433"/>
      <c r="H340" s="433"/>
      <c r="I340" s="433"/>
      <c r="J340" s="433"/>
      <c r="K340" s="433"/>
      <c r="M340" s="433"/>
      <c r="N340" s="433"/>
      <c r="O340" s="433"/>
      <c r="P340" s="433"/>
      <c r="Q340" s="433"/>
      <c r="R340" s="433"/>
      <c r="S340" s="433"/>
      <c r="T340" s="433"/>
      <c r="U340" s="433"/>
      <c r="V340" s="433"/>
      <c r="W340" s="433"/>
      <c r="X340" s="433"/>
      <c r="Y340" s="433"/>
      <c r="Z340" s="433"/>
      <c r="AA340" s="433"/>
      <c r="AB340" s="433"/>
      <c r="AC340" s="433"/>
      <c r="AD340" s="433"/>
      <c r="AE340" s="433"/>
      <c r="AF340" s="433"/>
      <c r="AG340" s="446"/>
      <c r="AH340" s="433"/>
      <c r="AI340" s="433"/>
      <c r="AJ340" s="433"/>
      <c r="AK340" s="433"/>
      <c r="AL340" s="433"/>
      <c r="AM340" s="433"/>
      <c r="AN340" s="433"/>
      <c r="AO340" s="433"/>
    </row>
    <row r="341" spans="1:41" ht="19.899999999999999" customHeight="1">
      <c r="A341" s="666"/>
      <c r="B341" s="433"/>
      <c r="C341" s="433"/>
      <c r="D341" s="433"/>
      <c r="E341" s="433"/>
      <c r="F341" s="433"/>
      <c r="G341" s="433"/>
      <c r="H341" s="433"/>
      <c r="I341" s="433"/>
      <c r="J341" s="433"/>
      <c r="K341" s="433"/>
      <c r="M341" s="433"/>
      <c r="N341" s="433"/>
      <c r="O341" s="433"/>
      <c r="P341" s="433"/>
      <c r="Q341" s="433"/>
      <c r="R341" s="433"/>
      <c r="S341" s="595"/>
      <c r="T341" s="433"/>
      <c r="U341" s="433"/>
      <c r="V341" s="433"/>
      <c r="W341" s="433"/>
      <c r="X341" s="433"/>
      <c r="Y341" s="433"/>
      <c r="Z341" s="433"/>
      <c r="AA341" s="433"/>
      <c r="AB341" s="433"/>
      <c r="AC341" s="433"/>
      <c r="AD341" s="433"/>
      <c r="AE341" s="433"/>
      <c r="AF341" s="433"/>
      <c r="AG341" s="446"/>
      <c r="AH341" s="433"/>
      <c r="AI341" s="433"/>
      <c r="AJ341" s="433"/>
      <c r="AK341" s="433"/>
      <c r="AL341" s="433"/>
      <c r="AM341" s="433"/>
      <c r="AN341" s="433"/>
      <c r="AO341" s="433"/>
    </row>
    <row r="342" spans="1:41" ht="19.899999999999999" customHeight="1">
      <c r="A342" s="666"/>
      <c r="B342" s="433"/>
      <c r="C342" s="433"/>
      <c r="D342" s="433"/>
      <c r="E342" s="433"/>
      <c r="F342" s="433"/>
      <c r="G342" s="433"/>
      <c r="H342" s="433"/>
      <c r="I342" s="433"/>
      <c r="J342" s="433"/>
      <c r="K342" s="433"/>
      <c r="M342" s="433"/>
      <c r="N342" s="433"/>
      <c r="O342" s="433"/>
      <c r="P342" s="433"/>
      <c r="Q342" s="433"/>
      <c r="R342" s="433"/>
      <c r="S342" s="433"/>
      <c r="T342" s="433"/>
      <c r="U342" s="433"/>
      <c r="V342" s="433"/>
      <c r="W342" s="433"/>
      <c r="X342" s="433"/>
      <c r="Y342" s="433"/>
      <c r="Z342" s="433"/>
      <c r="AA342" s="433"/>
      <c r="AB342" s="433"/>
      <c r="AC342" s="433"/>
      <c r="AD342" s="433"/>
      <c r="AE342" s="433"/>
      <c r="AF342" s="433"/>
      <c r="AG342" s="446"/>
      <c r="AH342" s="433"/>
      <c r="AI342" s="433"/>
      <c r="AJ342" s="433"/>
      <c r="AK342" s="433"/>
      <c r="AL342" s="433"/>
      <c r="AM342" s="433"/>
      <c r="AN342" s="433"/>
      <c r="AO342" s="433"/>
    </row>
    <row r="343" spans="1:41" ht="19.899999999999999" customHeight="1">
      <c r="A343" s="666"/>
      <c r="B343" s="433"/>
      <c r="C343" s="433"/>
      <c r="D343" s="433"/>
      <c r="E343" s="433"/>
      <c r="F343" s="433"/>
      <c r="G343" s="433"/>
      <c r="H343" s="433"/>
      <c r="I343" s="433"/>
      <c r="J343" s="433"/>
      <c r="K343" s="433"/>
      <c r="M343" s="1245"/>
      <c r="N343" s="21"/>
      <c r="O343" s="21"/>
      <c r="P343" s="21"/>
      <c r="Q343" s="21"/>
      <c r="R343" s="21"/>
      <c r="S343" s="21"/>
      <c r="T343" s="21"/>
      <c r="U343" s="21"/>
      <c r="V343" s="21"/>
      <c r="W343" s="433"/>
      <c r="X343" s="433"/>
      <c r="Y343" s="433"/>
      <c r="Z343" s="433"/>
      <c r="AA343" s="433"/>
      <c r="AB343" s="433"/>
      <c r="AC343" s="433"/>
      <c r="AD343" s="433"/>
      <c r="AE343" s="433"/>
      <c r="AF343" s="433"/>
      <c r="AG343" s="446"/>
      <c r="AH343" s="433"/>
      <c r="AI343" s="433"/>
      <c r="AJ343" s="433"/>
      <c r="AK343" s="433"/>
      <c r="AL343" s="433"/>
      <c r="AM343" s="433"/>
      <c r="AN343" s="433"/>
      <c r="AO343" s="433"/>
    </row>
    <row r="344" spans="1:41" ht="19.899999999999999" customHeight="1">
      <c r="A344" s="666"/>
      <c r="B344" s="433"/>
      <c r="C344" s="433"/>
      <c r="D344" s="433"/>
      <c r="E344" s="433"/>
      <c r="F344" s="433"/>
      <c r="G344" s="433"/>
      <c r="H344" s="433"/>
      <c r="I344" s="433"/>
      <c r="J344" s="433"/>
      <c r="K344" s="43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433"/>
      <c r="X344" s="433"/>
      <c r="Y344" s="433"/>
      <c r="Z344" s="433"/>
      <c r="AA344" s="433"/>
      <c r="AB344" s="433"/>
      <c r="AC344" s="433"/>
      <c r="AD344" s="433"/>
      <c r="AE344" s="433"/>
      <c r="AF344" s="433"/>
      <c r="AG344" s="446"/>
      <c r="AH344" s="433"/>
      <c r="AI344" s="433"/>
      <c r="AJ344" s="433"/>
      <c r="AK344" s="433"/>
      <c r="AL344" s="433"/>
      <c r="AM344" s="433"/>
      <c r="AN344" s="433"/>
      <c r="AO344" s="433"/>
    </row>
    <row r="345" spans="1:41" ht="19.899999999999999" customHeight="1">
      <c r="A345" s="666"/>
      <c r="B345" s="433"/>
      <c r="C345" s="433"/>
      <c r="D345" s="433"/>
      <c r="E345" s="433"/>
      <c r="F345" s="433"/>
      <c r="G345" s="433"/>
      <c r="H345" s="433"/>
      <c r="I345" s="433"/>
      <c r="J345" s="433"/>
      <c r="K345" s="433"/>
      <c r="M345" s="21"/>
      <c r="N345" s="627"/>
      <c r="O345" s="627"/>
      <c r="P345" s="627"/>
      <c r="Q345" s="627"/>
      <c r="R345" s="627"/>
      <c r="S345" s="627"/>
      <c r="T345" s="627"/>
      <c r="U345" s="627"/>
      <c r="V345" s="458"/>
      <c r="W345" s="433"/>
      <c r="X345" s="433"/>
      <c r="Y345" s="433"/>
      <c r="Z345" s="433"/>
      <c r="AA345" s="433"/>
      <c r="AB345" s="433"/>
      <c r="AC345" s="433"/>
      <c r="AD345" s="433"/>
      <c r="AE345" s="433"/>
      <c r="AF345" s="433"/>
      <c r="AG345" s="446"/>
      <c r="AH345" s="433"/>
      <c r="AI345" s="433"/>
      <c r="AJ345" s="433"/>
      <c r="AK345" s="433"/>
      <c r="AL345" s="433"/>
      <c r="AM345" s="433"/>
      <c r="AN345" s="433"/>
      <c r="AO345" s="433"/>
    </row>
    <row r="346" spans="1:41" ht="19.899999999999999" customHeight="1">
      <c r="A346" s="666"/>
      <c r="B346" s="433"/>
      <c r="C346" s="433"/>
      <c r="D346" s="433"/>
      <c r="E346" s="433"/>
      <c r="F346" s="433"/>
      <c r="G346" s="433"/>
      <c r="H346" s="433"/>
      <c r="I346" s="433"/>
      <c r="J346" s="433"/>
      <c r="K346" s="433"/>
      <c r="M346" s="21"/>
      <c r="N346" s="627"/>
      <c r="O346" s="627"/>
      <c r="P346" s="627"/>
      <c r="Q346" s="627"/>
      <c r="R346" s="627"/>
      <c r="S346" s="627"/>
      <c r="T346" s="627"/>
      <c r="U346" s="627"/>
      <c r="V346" s="458"/>
      <c r="W346" s="433"/>
      <c r="X346" s="433"/>
      <c r="Y346" s="433"/>
      <c r="Z346" s="433"/>
      <c r="AA346" s="433"/>
      <c r="AB346" s="433"/>
      <c r="AC346" s="433"/>
      <c r="AD346" s="433"/>
      <c r="AE346" s="433"/>
      <c r="AF346" s="433"/>
      <c r="AG346" s="446"/>
      <c r="AH346" s="433"/>
      <c r="AI346" s="433"/>
      <c r="AJ346" s="433"/>
      <c r="AK346" s="433"/>
      <c r="AL346" s="433"/>
      <c r="AM346" s="433"/>
      <c r="AN346" s="433"/>
      <c r="AO346" s="433"/>
    </row>
    <row r="347" spans="1:41" ht="19.899999999999999" customHeight="1">
      <c r="A347" s="666"/>
      <c r="B347" s="433"/>
      <c r="C347" s="433"/>
      <c r="D347" s="433"/>
      <c r="E347" s="433"/>
      <c r="F347" s="433"/>
      <c r="G347" s="433"/>
      <c r="H347" s="433"/>
      <c r="I347" s="433"/>
      <c r="J347" s="433"/>
      <c r="K347" s="433"/>
      <c r="M347" s="1245"/>
      <c r="N347" s="21"/>
      <c r="O347" s="21"/>
      <c r="P347" s="21"/>
      <c r="Q347" s="21"/>
      <c r="R347" s="21"/>
      <c r="S347" s="21"/>
      <c r="T347" s="21"/>
      <c r="U347" s="21"/>
      <c r="V347" s="21"/>
      <c r="W347" s="433"/>
      <c r="X347" s="433"/>
      <c r="Y347" s="433"/>
      <c r="Z347" s="433"/>
      <c r="AA347" s="433"/>
      <c r="AB347" s="433"/>
      <c r="AC347" s="433"/>
      <c r="AD347" s="433"/>
      <c r="AE347" s="433"/>
      <c r="AF347" s="433"/>
      <c r="AG347" s="446"/>
      <c r="AH347" s="433"/>
      <c r="AI347" s="433"/>
      <c r="AJ347" s="433"/>
      <c r="AK347" s="433"/>
      <c r="AL347" s="433"/>
      <c r="AM347" s="433"/>
      <c r="AN347" s="433"/>
      <c r="AO347" s="433"/>
    </row>
    <row r="348" spans="1:41" ht="19.899999999999999" customHeight="1">
      <c r="A348" s="666"/>
      <c r="B348" s="433"/>
      <c r="C348" s="433"/>
      <c r="D348" s="433"/>
      <c r="E348" s="433"/>
      <c r="F348" s="433"/>
      <c r="G348" s="433"/>
      <c r="H348" s="433"/>
      <c r="I348" s="433"/>
      <c r="J348" s="433"/>
      <c r="K348" s="433"/>
      <c r="M348" s="21"/>
      <c r="N348" s="21"/>
      <c r="O348" s="21"/>
      <c r="P348" s="21"/>
      <c r="Q348" s="21"/>
      <c r="R348" s="433"/>
      <c r="S348" s="21"/>
      <c r="T348" s="21"/>
      <c r="U348" s="21"/>
      <c r="V348" s="21"/>
      <c r="W348" s="433"/>
      <c r="X348" s="433"/>
      <c r="Y348" s="433"/>
      <c r="Z348" s="433"/>
      <c r="AA348" s="433"/>
      <c r="AB348" s="433"/>
      <c r="AC348" s="433"/>
      <c r="AD348" s="433"/>
      <c r="AE348" s="433"/>
      <c r="AF348" s="433"/>
      <c r="AG348" s="446"/>
      <c r="AH348" s="433"/>
      <c r="AI348" s="433"/>
      <c r="AJ348" s="433"/>
      <c r="AK348" s="433"/>
      <c r="AL348" s="433"/>
      <c r="AM348" s="433"/>
      <c r="AN348" s="433"/>
      <c r="AO348" s="433"/>
    </row>
    <row r="349" spans="1:41" ht="19.899999999999999" customHeight="1">
      <c r="A349" s="666"/>
      <c r="B349" s="433"/>
      <c r="C349" s="433"/>
      <c r="D349" s="433"/>
      <c r="E349" s="433"/>
      <c r="F349" s="433"/>
      <c r="G349" s="433"/>
      <c r="H349" s="433"/>
      <c r="I349" s="433"/>
      <c r="J349" s="433"/>
      <c r="K349" s="433"/>
      <c r="M349" s="21"/>
      <c r="N349" s="627"/>
      <c r="O349" s="627"/>
      <c r="P349" s="627"/>
      <c r="Q349" s="627"/>
      <c r="R349" s="627"/>
      <c r="S349" s="627"/>
      <c r="T349" s="627"/>
      <c r="U349" s="627"/>
      <c r="V349" s="458"/>
      <c r="W349" s="433"/>
      <c r="X349" s="433"/>
      <c r="Y349" s="433"/>
      <c r="Z349" s="433"/>
      <c r="AA349" s="433"/>
      <c r="AB349" s="433"/>
      <c r="AC349" s="433"/>
      <c r="AD349" s="433"/>
      <c r="AE349" s="433"/>
      <c r="AF349" s="433"/>
      <c r="AG349" s="446"/>
      <c r="AH349" s="433"/>
      <c r="AI349" s="433"/>
      <c r="AJ349" s="433"/>
      <c r="AK349" s="433"/>
      <c r="AL349" s="433"/>
      <c r="AM349" s="433"/>
      <c r="AN349" s="433"/>
      <c r="AO349" s="433"/>
    </row>
    <row r="350" spans="1:41" ht="19.899999999999999" customHeight="1">
      <c r="A350" s="666"/>
      <c r="B350" s="433"/>
      <c r="C350" s="433"/>
      <c r="D350" s="433"/>
      <c r="E350" s="433"/>
      <c r="F350" s="433"/>
      <c r="G350" s="433"/>
      <c r="H350" s="433"/>
      <c r="I350" s="433"/>
      <c r="J350" s="433"/>
      <c r="K350" s="433"/>
      <c r="M350" s="1245"/>
      <c r="N350" s="21"/>
      <c r="O350" s="21"/>
      <c r="P350" s="21"/>
      <c r="Q350" s="21"/>
      <c r="R350" s="21"/>
      <c r="S350" s="21"/>
      <c r="T350" s="21"/>
      <c r="U350" s="21"/>
      <c r="V350" s="21"/>
      <c r="W350" s="433"/>
      <c r="X350" s="433"/>
      <c r="Y350" s="433"/>
      <c r="Z350" s="433"/>
      <c r="AA350" s="433"/>
      <c r="AB350" s="433"/>
      <c r="AC350" s="433"/>
      <c r="AD350" s="433"/>
      <c r="AE350" s="433"/>
      <c r="AF350" s="433"/>
      <c r="AG350" s="446"/>
      <c r="AH350" s="433"/>
      <c r="AI350" s="433"/>
      <c r="AJ350" s="433"/>
      <c r="AK350" s="433"/>
      <c r="AL350" s="433"/>
      <c r="AM350" s="433"/>
      <c r="AN350" s="433"/>
      <c r="AO350" s="433"/>
    </row>
    <row r="351" spans="1:41" ht="19.899999999999999" customHeight="1">
      <c r="A351" s="666"/>
      <c r="B351" s="433"/>
      <c r="C351" s="433"/>
      <c r="D351" s="433"/>
      <c r="E351" s="433"/>
      <c r="F351" s="433"/>
      <c r="G351" s="433"/>
      <c r="H351" s="433"/>
      <c r="I351" s="433"/>
      <c r="J351" s="433"/>
      <c r="K351" s="43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433"/>
      <c r="X351" s="433"/>
      <c r="Y351" s="433"/>
      <c r="Z351" s="433"/>
      <c r="AA351" s="433"/>
      <c r="AB351" s="433"/>
      <c r="AC351" s="433"/>
      <c r="AD351" s="433"/>
      <c r="AE351" s="433"/>
      <c r="AF351" s="433"/>
      <c r="AG351" s="446"/>
      <c r="AH351" s="433"/>
      <c r="AI351" s="433"/>
      <c r="AJ351" s="433"/>
      <c r="AK351" s="433"/>
      <c r="AL351" s="433"/>
      <c r="AM351" s="433"/>
      <c r="AN351" s="433"/>
      <c r="AO351" s="433"/>
    </row>
    <row r="352" spans="1:41" ht="19.899999999999999" customHeight="1">
      <c r="A352" s="666"/>
      <c r="B352" s="433"/>
      <c r="C352" s="433"/>
      <c r="D352" s="433"/>
      <c r="E352" s="433"/>
      <c r="F352" s="433"/>
      <c r="G352" s="433"/>
      <c r="H352" s="433"/>
      <c r="I352" s="433"/>
      <c r="J352" s="433"/>
      <c r="K352" s="433"/>
      <c r="M352" s="21"/>
      <c r="N352" s="627"/>
      <c r="O352" s="627"/>
      <c r="P352" s="627"/>
      <c r="Q352" s="627"/>
      <c r="R352" s="627"/>
      <c r="S352" s="627"/>
      <c r="T352" s="627"/>
      <c r="U352" s="21"/>
      <c r="V352" s="458"/>
      <c r="W352" s="433"/>
      <c r="X352" s="433"/>
      <c r="Y352" s="433"/>
      <c r="Z352" s="433"/>
      <c r="AA352" s="433"/>
      <c r="AB352" s="433"/>
      <c r="AC352" s="433"/>
      <c r="AD352" s="433"/>
      <c r="AE352" s="433"/>
      <c r="AF352" s="433"/>
      <c r="AG352" s="446"/>
      <c r="AH352" s="433"/>
      <c r="AI352" s="433"/>
      <c r="AJ352" s="433"/>
      <c r="AK352" s="433"/>
      <c r="AL352" s="433"/>
      <c r="AM352" s="433"/>
      <c r="AN352" s="433"/>
      <c r="AO352" s="433"/>
    </row>
    <row r="353" spans="1:41" ht="19.899999999999999" customHeight="1">
      <c r="A353" s="666"/>
      <c r="B353" s="433"/>
      <c r="C353" s="433"/>
      <c r="D353" s="433"/>
      <c r="E353" s="433"/>
      <c r="F353" s="433"/>
      <c r="G353" s="433"/>
      <c r="H353" s="433"/>
      <c r="I353" s="433"/>
      <c r="J353" s="433"/>
      <c r="K353" s="433"/>
      <c r="M353" s="433"/>
      <c r="N353" s="433"/>
      <c r="O353" s="433"/>
      <c r="P353" s="433"/>
      <c r="Q353" s="433"/>
      <c r="R353" s="433"/>
      <c r="S353" s="433"/>
      <c r="T353" s="433"/>
      <c r="U353" s="433"/>
      <c r="V353" s="433"/>
      <c r="W353" s="433"/>
      <c r="X353" s="433"/>
      <c r="Y353" s="433"/>
      <c r="Z353" s="433"/>
      <c r="AA353" s="433"/>
      <c r="AB353" s="433"/>
      <c r="AC353" s="433"/>
      <c r="AD353" s="433"/>
      <c r="AE353" s="433"/>
      <c r="AF353" s="433"/>
      <c r="AG353" s="446"/>
      <c r="AH353" s="433"/>
      <c r="AI353" s="433"/>
      <c r="AJ353" s="433"/>
      <c r="AK353" s="433"/>
      <c r="AL353" s="433"/>
      <c r="AM353" s="433"/>
      <c r="AN353" s="433"/>
      <c r="AO353" s="433"/>
    </row>
    <row r="354" spans="1:41" ht="19.899999999999999" customHeight="1">
      <c r="A354" s="666"/>
      <c r="B354" s="433"/>
      <c r="C354" s="433"/>
      <c r="D354" s="433"/>
      <c r="E354" s="433"/>
      <c r="F354" s="433"/>
      <c r="G354" s="433"/>
      <c r="H354" s="433"/>
      <c r="I354" s="433"/>
      <c r="J354" s="433"/>
      <c r="K354" s="433"/>
      <c r="M354" s="433"/>
      <c r="N354" s="433"/>
      <c r="O354" s="433"/>
      <c r="P354" s="433"/>
      <c r="Q354" s="433"/>
      <c r="R354" s="433"/>
      <c r="S354" s="433"/>
      <c r="T354" s="433"/>
      <c r="U354" s="433"/>
      <c r="V354" s="433"/>
      <c r="W354" s="433"/>
      <c r="X354" s="433"/>
      <c r="Y354" s="433"/>
      <c r="Z354" s="433"/>
      <c r="AA354" s="433"/>
      <c r="AB354" s="433"/>
      <c r="AC354" s="433"/>
      <c r="AD354" s="433"/>
      <c r="AE354" s="433"/>
      <c r="AF354" s="433"/>
      <c r="AG354" s="446"/>
      <c r="AH354" s="433"/>
      <c r="AI354" s="433"/>
      <c r="AJ354" s="433"/>
      <c r="AK354" s="433"/>
      <c r="AL354" s="433"/>
      <c r="AM354" s="433"/>
      <c r="AN354" s="433"/>
      <c r="AO354" s="433"/>
    </row>
    <row r="355" spans="1:41" ht="19.899999999999999" customHeight="1">
      <c r="A355" s="666"/>
      <c r="B355" s="433"/>
      <c r="C355" s="433"/>
      <c r="D355" s="433"/>
      <c r="E355" s="433"/>
      <c r="F355" s="433"/>
      <c r="G355" s="433"/>
      <c r="H355" s="433"/>
      <c r="I355" s="433"/>
      <c r="J355" s="433"/>
      <c r="K355" s="433"/>
      <c r="M355" s="433"/>
      <c r="N355" s="433"/>
      <c r="O355" s="433"/>
      <c r="P355" s="433"/>
      <c r="Q355" s="433"/>
      <c r="R355" s="433"/>
      <c r="S355" s="433"/>
      <c r="T355" s="433"/>
      <c r="U355" s="433"/>
      <c r="V355" s="433"/>
      <c r="W355" s="433"/>
      <c r="X355" s="433"/>
      <c r="Y355" s="433"/>
      <c r="Z355" s="433"/>
      <c r="AA355" s="433"/>
      <c r="AB355" s="433"/>
      <c r="AC355" s="433"/>
      <c r="AD355" s="433"/>
      <c r="AE355" s="433"/>
      <c r="AF355" s="433"/>
      <c r="AG355" s="446"/>
      <c r="AH355" s="433"/>
      <c r="AI355" s="433"/>
      <c r="AJ355" s="433"/>
      <c r="AK355" s="433"/>
      <c r="AL355" s="433"/>
      <c r="AM355" s="433"/>
      <c r="AN355" s="433"/>
      <c r="AO355" s="433"/>
    </row>
    <row r="356" spans="1:41" ht="19.899999999999999" customHeight="1" thickBot="1">
      <c r="A356" s="666"/>
      <c r="B356" s="433"/>
      <c r="C356" s="433"/>
      <c r="D356" s="433"/>
      <c r="E356" s="433"/>
      <c r="F356" s="433"/>
      <c r="G356" s="433"/>
      <c r="H356" s="433"/>
      <c r="I356" s="433"/>
      <c r="J356" s="433"/>
      <c r="K356" s="433"/>
      <c r="M356" s="433"/>
      <c r="N356" s="433"/>
      <c r="O356" s="433"/>
      <c r="P356" s="433"/>
      <c r="Q356" s="433"/>
      <c r="R356" s="433"/>
      <c r="S356" s="433"/>
      <c r="T356" s="433"/>
      <c r="U356" s="433"/>
      <c r="V356" s="433"/>
      <c r="W356" s="433"/>
      <c r="X356" s="433"/>
      <c r="Y356" s="433"/>
      <c r="Z356" s="433"/>
      <c r="AA356" s="433"/>
      <c r="AB356" s="433"/>
      <c r="AC356" s="433"/>
      <c r="AD356" s="433"/>
      <c r="AE356" s="433"/>
      <c r="AF356" s="433"/>
      <c r="AG356" s="664"/>
      <c r="AH356" s="433"/>
      <c r="AI356" s="433"/>
      <c r="AJ356" s="433"/>
      <c r="AK356" s="433"/>
      <c r="AL356" s="433"/>
      <c r="AM356" s="433"/>
      <c r="AN356" s="433"/>
      <c r="AO356" s="433"/>
    </row>
    <row r="357" spans="1:41" ht="19.899999999999999" customHeight="1">
      <c r="A357" s="666"/>
      <c r="B357" s="433"/>
      <c r="C357" s="433"/>
      <c r="D357" s="433"/>
      <c r="E357" s="433"/>
      <c r="F357" s="433"/>
      <c r="G357" s="433"/>
      <c r="H357" s="433"/>
      <c r="I357" s="433"/>
      <c r="J357" s="433"/>
      <c r="K357" s="433"/>
      <c r="M357" s="433"/>
      <c r="N357" s="433"/>
      <c r="O357" s="433"/>
      <c r="P357" s="433"/>
      <c r="Q357" s="433"/>
      <c r="R357" s="433"/>
      <c r="S357" s="433"/>
      <c r="T357" s="433"/>
      <c r="U357" s="433"/>
      <c r="V357" s="433"/>
      <c r="W357" s="433"/>
      <c r="X357" s="433"/>
      <c r="Y357" s="433"/>
      <c r="Z357" s="433"/>
      <c r="AA357" s="433"/>
      <c r="AB357" s="433"/>
      <c r="AC357" s="433"/>
      <c r="AD357" s="433"/>
      <c r="AE357" s="433"/>
      <c r="AF357" s="433"/>
      <c r="AG357" s="433"/>
      <c r="AH357" s="433"/>
      <c r="AI357" s="433"/>
      <c r="AJ357" s="433"/>
      <c r="AK357" s="433"/>
      <c r="AL357" s="433"/>
      <c r="AM357" s="433"/>
      <c r="AN357" s="433"/>
      <c r="AO357" s="433"/>
    </row>
    <row r="358" spans="1:41" ht="19.899999999999999" customHeight="1">
      <c r="A358" s="666"/>
      <c r="B358" s="433"/>
      <c r="C358" s="433"/>
      <c r="D358" s="433"/>
      <c r="E358" s="433"/>
      <c r="F358" s="433"/>
      <c r="G358" s="433"/>
      <c r="H358" s="433"/>
      <c r="I358" s="433"/>
      <c r="J358" s="433"/>
      <c r="K358" s="433"/>
      <c r="M358" s="433"/>
      <c r="N358" s="433"/>
      <c r="O358" s="433"/>
      <c r="P358" s="433"/>
      <c r="Q358" s="433"/>
      <c r="R358" s="433"/>
      <c r="S358" s="433"/>
      <c r="T358" s="433"/>
      <c r="U358" s="433"/>
      <c r="V358" s="433"/>
      <c r="W358" s="433"/>
      <c r="X358" s="433"/>
      <c r="Y358" s="433"/>
      <c r="Z358" s="433"/>
      <c r="AA358" s="433"/>
      <c r="AB358" s="433"/>
      <c r="AC358" s="433"/>
      <c r="AD358" s="433"/>
      <c r="AE358" s="433"/>
      <c r="AF358" s="433"/>
      <c r="AG358" s="433"/>
      <c r="AH358" s="433"/>
      <c r="AI358" s="433"/>
      <c r="AJ358" s="433"/>
      <c r="AK358" s="433"/>
      <c r="AL358" s="433"/>
      <c r="AM358" s="433"/>
      <c r="AN358" s="433"/>
      <c r="AO358" s="433"/>
    </row>
    <row r="359" spans="1:41" ht="19.899999999999999" customHeight="1">
      <c r="A359" s="666"/>
      <c r="B359" s="433"/>
      <c r="C359" s="433"/>
      <c r="D359" s="433"/>
      <c r="E359" s="433"/>
      <c r="F359" s="433"/>
      <c r="G359" s="433"/>
      <c r="H359" s="433"/>
      <c r="I359" s="433"/>
      <c r="J359" s="433"/>
      <c r="K359" s="433"/>
      <c r="L359" s="433"/>
      <c r="M359" s="433"/>
      <c r="N359" s="433"/>
      <c r="O359" s="433"/>
      <c r="P359" s="433"/>
      <c r="Q359" s="433"/>
      <c r="R359" s="433"/>
      <c r="S359" s="433"/>
      <c r="T359" s="433"/>
      <c r="U359" s="433"/>
      <c r="V359" s="433"/>
      <c r="W359" s="433"/>
      <c r="X359" s="433"/>
      <c r="Y359" s="433"/>
      <c r="Z359" s="433"/>
      <c r="AA359" s="433"/>
      <c r="AB359" s="433"/>
      <c r="AC359" s="433"/>
      <c r="AD359" s="433"/>
      <c r="AE359" s="433"/>
      <c r="AF359" s="433"/>
      <c r="AG359" s="433"/>
      <c r="AH359" s="433"/>
      <c r="AI359" s="433"/>
      <c r="AJ359" s="433"/>
      <c r="AK359" s="433"/>
      <c r="AL359" s="433"/>
      <c r="AM359" s="433"/>
      <c r="AN359" s="433"/>
      <c r="AO359" s="433"/>
    </row>
    <row r="360" spans="1:41" ht="19.899999999999999" customHeight="1">
      <c r="A360" s="666"/>
      <c r="B360" s="433"/>
      <c r="C360" s="433"/>
      <c r="D360" s="433"/>
      <c r="E360" s="433"/>
      <c r="F360" s="433"/>
      <c r="G360" s="433"/>
      <c r="H360" s="433"/>
      <c r="I360" s="433"/>
      <c r="J360" s="433"/>
      <c r="K360" s="433"/>
      <c r="L360" s="433"/>
      <c r="M360" s="433"/>
      <c r="N360" s="433"/>
      <c r="O360" s="433"/>
      <c r="P360" s="433"/>
      <c r="Q360" s="433"/>
      <c r="R360" s="433"/>
      <c r="S360" s="433"/>
      <c r="T360" s="433"/>
      <c r="U360" s="433"/>
      <c r="V360" s="433"/>
      <c r="W360" s="433"/>
      <c r="X360" s="433"/>
      <c r="Y360" s="433"/>
      <c r="Z360" s="433"/>
      <c r="AA360" s="433"/>
      <c r="AB360" s="433"/>
      <c r="AC360" s="433"/>
      <c r="AD360" s="433"/>
      <c r="AE360" s="433"/>
      <c r="AF360" s="433"/>
      <c r="AG360" s="433"/>
      <c r="AH360" s="433"/>
      <c r="AI360" s="433"/>
      <c r="AJ360" s="433"/>
      <c r="AK360" s="433"/>
      <c r="AL360" s="433"/>
      <c r="AM360" s="433"/>
      <c r="AN360" s="433"/>
      <c r="AO360" s="433"/>
    </row>
    <row r="361" spans="1:41" ht="19.899999999999999" customHeight="1">
      <c r="A361" s="666"/>
      <c r="B361" s="433"/>
      <c r="C361" s="433"/>
      <c r="D361" s="433"/>
      <c r="E361" s="433"/>
      <c r="F361" s="433"/>
      <c r="G361" s="433"/>
      <c r="H361" s="433"/>
      <c r="I361" s="433"/>
      <c r="J361" s="433"/>
      <c r="K361" s="433"/>
      <c r="L361" s="433"/>
      <c r="M361" s="433"/>
      <c r="N361" s="433"/>
      <c r="O361" s="433"/>
      <c r="P361" s="433"/>
      <c r="Q361" s="433"/>
      <c r="R361" s="433"/>
      <c r="S361" s="433"/>
      <c r="T361" s="433"/>
      <c r="U361" s="433"/>
      <c r="V361" s="433"/>
    </row>
    <row r="362" spans="1:41" ht="19.899999999999999" customHeight="1">
      <c r="A362" s="666"/>
      <c r="B362" s="433"/>
      <c r="C362" s="433"/>
      <c r="D362" s="433"/>
      <c r="E362" s="433"/>
      <c r="F362" s="433"/>
      <c r="G362" s="433"/>
      <c r="H362" s="433"/>
      <c r="I362" s="433"/>
      <c r="J362" s="433"/>
      <c r="K362" s="433"/>
      <c r="L362" s="433"/>
      <c r="M362" s="433"/>
      <c r="N362" s="433"/>
      <c r="O362" s="433"/>
      <c r="P362" s="433"/>
      <c r="Q362" s="433"/>
      <c r="R362" s="433"/>
      <c r="S362" s="433"/>
      <c r="T362" s="433"/>
      <c r="U362" s="433"/>
      <c r="V362" s="433"/>
    </row>
    <row r="363" spans="1:41" ht="19.899999999999999" customHeight="1">
      <c r="A363" s="666"/>
      <c r="B363" s="433"/>
      <c r="C363" s="433"/>
      <c r="D363" s="433"/>
      <c r="E363" s="433"/>
      <c r="F363" s="433"/>
      <c r="G363" s="433"/>
      <c r="H363" s="433"/>
      <c r="I363" s="433"/>
      <c r="J363" s="433"/>
      <c r="K363" s="433"/>
      <c r="L363" s="433"/>
      <c r="M363" s="433"/>
      <c r="N363" s="433"/>
      <c r="O363" s="433"/>
      <c r="P363" s="433"/>
      <c r="Q363" s="433"/>
      <c r="R363" s="433"/>
      <c r="S363" s="433"/>
      <c r="T363" s="433"/>
      <c r="U363" s="433"/>
      <c r="V363" s="433"/>
    </row>
    <row r="364" spans="1:41" ht="19.899999999999999" customHeight="1">
      <c r="A364" s="666"/>
      <c r="B364" s="433"/>
      <c r="C364" s="433"/>
      <c r="D364" s="433"/>
      <c r="E364" s="433"/>
      <c r="F364" s="433"/>
      <c r="G364" s="433"/>
      <c r="H364" s="433"/>
      <c r="I364" s="433"/>
      <c r="J364" s="433"/>
      <c r="K364" s="433"/>
      <c r="L364" s="433"/>
      <c r="M364" s="433"/>
      <c r="N364" s="433"/>
      <c r="O364" s="433"/>
      <c r="P364" s="433"/>
      <c r="Q364" s="433"/>
      <c r="R364" s="433"/>
      <c r="S364" s="433"/>
      <c r="T364" s="433"/>
      <c r="U364" s="433"/>
      <c r="V364" s="433"/>
    </row>
    <row r="365" spans="1:41" ht="19.899999999999999" customHeight="1">
      <c r="A365" s="666"/>
      <c r="B365" s="433"/>
      <c r="C365" s="433"/>
      <c r="D365" s="433"/>
      <c r="E365" s="433"/>
      <c r="F365" s="433"/>
      <c r="G365" s="433"/>
      <c r="H365" s="433"/>
      <c r="I365" s="433"/>
      <c r="J365" s="433"/>
      <c r="K365" s="433"/>
      <c r="L365" s="433"/>
      <c r="M365" s="433"/>
      <c r="N365" s="433"/>
      <c r="O365" s="433"/>
      <c r="P365" s="433"/>
      <c r="Q365" s="433"/>
      <c r="R365" s="433"/>
      <c r="S365" s="433"/>
      <c r="T365" s="433"/>
      <c r="U365" s="433"/>
      <c r="V365" s="433"/>
    </row>
    <row r="366" spans="1:41" ht="19.899999999999999" customHeight="1">
      <c r="A366" s="666"/>
      <c r="B366" s="433"/>
      <c r="C366" s="433"/>
      <c r="D366" s="433"/>
      <c r="E366" s="433"/>
      <c r="F366" s="433"/>
      <c r="G366" s="433"/>
      <c r="H366" s="433"/>
      <c r="I366" s="433"/>
      <c r="J366" s="433"/>
      <c r="K366" s="433"/>
      <c r="L366" s="433"/>
      <c r="M366" s="433"/>
      <c r="N366" s="433"/>
      <c r="O366" s="433"/>
      <c r="P366" s="433"/>
      <c r="Q366" s="433"/>
      <c r="R366" s="433"/>
      <c r="S366" s="433"/>
      <c r="T366" s="433"/>
      <c r="U366" s="433"/>
      <c r="V366" s="433"/>
    </row>
    <row r="367" spans="1:41" ht="19.899999999999999" customHeight="1">
      <c r="A367" s="666"/>
      <c r="B367" s="433"/>
      <c r="C367" s="433"/>
      <c r="D367" s="433"/>
      <c r="E367" s="433"/>
      <c r="F367" s="433"/>
      <c r="G367" s="433"/>
      <c r="H367" s="433"/>
      <c r="I367" s="433"/>
      <c r="J367" s="433"/>
      <c r="K367" s="433"/>
      <c r="L367" s="433"/>
      <c r="M367" s="433"/>
      <c r="N367" s="433"/>
      <c r="O367" s="433"/>
      <c r="P367" s="433"/>
      <c r="Q367" s="433"/>
      <c r="R367" s="433"/>
      <c r="S367" s="433"/>
      <c r="T367" s="433"/>
      <c r="U367" s="433"/>
      <c r="V367" s="433"/>
    </row>
    <row r="368" spans="1:41" ht="19.899999999999999" customHeight="1">
      <c r="A368" s="666"/>
      <c r="B368" s="433"/>
      <c r="C368" s="433"/>
      <c r="D368" s="433"/>
      <c r="E368" s="433"/>
      <c r="F368" s="433"/>
      <c r="G368" s="433"/>
      <c r="H368" s="433"/>
      <c r="I368" s="433"/>
      <c r="J368" s="433"/>
      <c r="K368" s="433"/>
      <c r="L368" s="433"/>
      <c r="M368" s="433"/>
      <c r="N368" s="433"/>
      <c r="O368" s="433"/>
      <c r="P368" s="433"/>
      <c r="Q368" s="433"/>
      <c r="R368" s="433"/>
      <c r="S368" s="433"/>
      <c r="T368" s="433"/>
      <c r="U368" s="433"/>
      <c r="V368" s="433"/>
    </row>
    <row r="369" spans="1:22" ht="19.899999999999999" customHeight="1">
      <c r="A369" s="666"/>
      <c r="B369" s="433"/>
      <c r="C369" s="433"/>
      <c r="D369" s="433"/>
      <c r="E369" s="433"/>
      <c r="F369" s="433"/>
      <c r="G369" s="433"/>
      <c r="H369" s="433"/>
      <c r="I369" s="433"/>
      <c r="J369" s="433"/>
      <c r="K369" s="433"/>
      <c r="L369" s="433"/>
      <c r="M369" s="433"/>
      <c r="N369" s="433"/>
      <c r="O369" s="433"/>
      <c r="P369" s="433"/>
      <c r="Q369" s="433"/>
      <c r="R369" s="433"/>
      <c r="S369" s="433"/>
      <c r="T369" s="433"/>
      <c r="U369" s="433"/>
      <c r="V369" s="433"/>
    </row>
    <row r="370" spans="1:22" ht="19.899999999999999" customHeight="1">
      <c r="A370" s="666"/>
      <c r="B370" s="433"/>
      <c r="C370" s="433"/>
      <c r="D370" s="433"/>
      <c r="E370" s="433"/>
      <c r="F370" s="433"/>
      <c r="G370" s="433"/>
      <c r="H370" s="433"/>
      <c r="I370" s="433"/>
      <c r="J370" s="433"/>
      <c r="K370" s="433"/>
      <c r="L370" s="433"/>
      <c r="M370" s="433"/>
      <c r="N370" s="433"/>
      <c r="O370" s="433"/>
      <c r="P370" s="433"/>
      <c r="Q370" s="433"/>
      <c r="R370" s="433"/>
      <c r="S370" s="433"/>
      <c r="T370" s="433"/>
      <c r="U370" s="433"/>
      <c r="V370" s="433"/>
    </row>
    <row r="371" spans="1:22" ht="19.899999999999999" customHeight="1">
      <c r="A371" s="666"/>
      <c r="B371" s="433"/>
      <c r="C371" s="433"/>
      <c r="D371" s="433"/>
      <c r="E371" s="433"/>
      <c r="F371" s="433"/>
      <c r="G371" s="433"/>
      <c r="H371" s="433"/>
      <c r="I371" s="433"/>
      <c r="J371" s="433"/>
      <c r="K371" s="433"/>
      <c r="L371" s="433"/>
      <c r="M371" s="433"/>
      <c r="N371" s="433"/>
      <c r="O371" s="433"/>
      <c r="P371" s="433"/>
      <c r="Q371" s="433"/>
      <c r="R371" s="433"/>
      <c r="S371" s="433"/>
      <c r="T371" s="433"/>
      <c r="U371" s="433"/>
      <c r="V371" s="433"/>
    </row>
    <row r="372" spans="1:22" ht="19.899999999999999" customHeight="1">
      <c r="A372" s="666"/>
      <c r="B372" s="433"/>
      <c r="C372" s="433"/>
      <c r="D372" s="433"/>
      <c r="E372" s="433"/>
      <c r="F372" s="433"/>
      <c r="G372" s="433"/>
      <c r="H372" s="433"/>
      <c r="I372" s="433"/>
      <c r="J372" s="433"/>
      <c r="K372" s="433"/>
      <c r="L372" s="433"/>
      <c r="M372" s="433"/>
      <c r="N372" s="433"/>
      <c r="O372" s="433"/>
      <c r="P372" s="433"/>
      <c r="Q372" s="433"/>
      <c r="R372" s="433"/>
      <c r="S372" s="433"/>
      <c r="T372" s="433"/>
      <c r="U372" s="433"/>
      <c r="V372" s="433"/>
    </row>
    <row r="373" spans="1:22" ht="19.899999999999999" customHeight="1">
      <c r="A373" s="666"/>
      <c r="B373" s="433"/>
      <c r="C373" s="433"/>
      <c r="D373" s="433"/>
      <c r="E373" s="433"/>
      <c r="F373" s="433"/>
      <c r="G373" s="433"/>
      <c r="H373" s="433"/>
      <c r="I373" s="433"/>
      <c r="J373" s="433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</row>
    <row r="374" spans="1:22" ht="19.899999999999999" customHeight="1">
      <c r="A374" s="666"/>
      <c r="B374" s="433"/>
      <c r="C374" s="433"/>
      <c r="D374" s="433"/>
      <c r="E374" s="433"/>
      <c r="F374" s="433"/>
      <c r="G374" s="433"/>
      <c r="H374" s="433"/>
      <c r="I374" s="433"/>
      <c r="J374" s="433"/>
      <c r="K374" s="433"/>
      <c r="L374" s="433"/>
      <c r="M374" s="433"/>
      <c r="N374" s="433"/>
      <c r="O374" s="433"/>
      <c r="P374" s="433"/>
      <c r="Q374" s="433"/>
      <c r="R374" s="433"/>
      <c r="S374" s="433"/>
      <c r="T374" s="433"/>
      <c r="U374" s="433"/>
      <c r="V374" s="433"/>
    </row>
    <row r="375" spans="1:22" ht="19.899999999999999" customHeight="1">
      <c r="A375" s="666"/>
      <c r="B375" s="433"/>
      <c r="C375" s="433"/>
      <c r="D375" s="433"/>
      <c r="E375" s="433"/>
      <c r="F375" s="433"/>
      <c r="G375" s="433"/>
      <c r="H375" s="433"/>
      <c r="I375" s="433"/>
      <c r="J375" s="433"/>
      <c r="K375" s="433"/>
      <c r="L375" s="433"/>
      <c r="M375" s="433"/>
      <c r="N375" s="433"/>
      <c r="O375" s="433"/>
      <c r="P375" s="433"/>
      <c r="Q375" s="433"/>
      <c r="R375" s="433"/>
      <c r="S375" s="433"/>
      <c r="T375" s="433"/>
      <c r="U375" s="433"/>
      <c r="V375" s="433"/>
    </row>
    <row r="376" spans="1:22" ht="19.899999999999999" customHeight="1">
      <c r="A376" s="666"/>
      <c r="B376" s="433"/>
      <c r="C376" s="433"/>
      <c r="D376" s="433"/>
      <c r="E376" s="433"/>
      <c r="F376" s="433"/>
      <c r="G376" s="433"/>
      <c r="H376" s="433"/>
      <c r="I376" s="433"/>
      <c r="J376" s="433"/>
      <c r="K376" s="433"/>
      <c r="L376" s="433"/>
      <c r="M376" s="433"/>
      <c r="N376" s="433"/>
      <c r="O376" s="433"/>
      <c r="P376" s="433"/>
      <c r="Q376" s="433"/>
      <c r="R376" s="433"/>
      <c r="S376" s="433"/>
      <c r="T376" s="433"/>
      <c r="U376" s="433"/>
      <c r="V376" s="433"/>
    </row>
    <row r="377" spans="1:22" ht="19.899999999999999" customHeight="1">
      <c r="A377" s="666"/>
      <c r="B377" s="433"/>
      <c r="C377" s="433"/>
      <c r="D377" s="433"/>
      <c r="E377" s="433"/>
      <c r="F377" s="433"/>
      <c r="G377" s="433"/>
      <c r="H377" s="433"/>
      <c r="I377" s="433"/>
      <c r="J377" s="433"/>
      <c r="K377" s="433"/>
      <c r="L377" s="433"/>
      <c r="M377" s="433"/>
      <c r="N377" s="433"/>
      <c r="O377" s="433"/>
      <c r="P377" s="433"/>
      <c r="Q377" s="433"/>
      <c r="R377" s="433"/>
      <c r="S377" s="433"/>
      <c r="T377" s="433"/>
      <c r="U377" s="433"/>
      <c r="V377" s="433"/>
    </row>
    <row r="378" spans="1:22" ht="19.899999999999999" customHeight="1">
      <c r="A378" s="666"/>
      <c r="B378" s="433"/>
      <c r="C378" s="433"/>
      <c r="D378" s="433"/>
      <c r="E378" s="433"/>
      <c r="F378" s="433"/>
      <c r="G378" s="433"/>
      <c r="H378" s="433"/>
      <c r="I378" s="433"/>
      <c r="J378" s="433"/>
      <c r="K378" s="433"/>
      <c r="L378" s="433"/>
      <c r="M378" s="433"/>
      <c r="N378" s="433"/>
      <c r="O378" s="433"/>
      <c r="P378" s="433"/>
      <c r="Q378" s="433"/>
      <c r="R378" s="433"/>
      <c r="S378" s="433"/>
      <c r="T378" s="433"/>
      <c r="U378" s="433"/>
      <c r="V378" s="433"/>
    </row>
    <row r="379" spans="1:22" ht="19.899999999999999" customHeight="1">
      <c r="A379" s="666"/>
      <c r="B379" s="433"/>
      <c r="C379" s="433"/>
      <c r="D379" s="433"/>
      <c r="E379" s="433"/>
      <c r="F379" s="433"/>
      <c r="G379" s="433"/>
      <c r="H379" s="433"/>
      <c r="I379" s="433"/>
      <c r="J379" s="433"/>
      <c r="K379" s="433"/>
      <c r="L379" s="433"/>
      <c r="M379" s="433"/>
      <c r="N379" s="433"/>
      <c r="O379" s="433"/>
      <c r="P379" s="433"/>
      <c r="Q379" s="433"/>
      <c r="R379" s="433"/>
      <c r="S379" s="433"/>
      <c r="T379" s="433"/>
      <c r="U379" s="433"/>
      <c r="V379" s="433"/>
    </row>
    <row r="380" spans="1:22" ht="19.899999999999999" customHeight="1">
      <c r="A380" s="666"/>
      <c r="B380" s="433"/>
      <c r="C380" s="433"/>
      <c r="D380" s="433"/>
      <c r="E380" s="433"/>
      <c r="F380" s="433"/>
      <c r="G380" s="433"/>
      <c r="H380" s="433"/>
      <c r="I380" s="433"/>
      <c r="J380" s="433"/>
      <c r="K380" s="433"/>
      <c r="L380" s="433"/>
      <c r="M380" s="433"/>
      <c r="N380" s="433"/>
      <c r="O380" s="433"/>
      <c r="P380" s="433"/>
      <c r="Q380" s="433"/>
      <c r="R380" s="433"/>
      <c r="S380" s="433"/>
      <c r="T380" s="433"/>
      <c r="U380" s="433"/>
      <c r="V380" s="433"/>
    </row>
  </sheetData>
  <mergeCells count="65">
    <mergeCell ref="P6:U6"/>
    <mergeCell ref="F61:G61"/>
    <mergeCell ref="H61:I61"/>
    <mergeCell ref="J61:K61"/>
    <mergeCell ref="M44:P44"/>
    <mergeCell ref="N8:N9"/>
    <mergeCell ref="N10:N13"/>
    <mergeCell ref="H132:I132"/>
    <mergeCell ref="Q132:R132"/>
    <mergeCell ref="B62:C62"/>
    <mergeCell ref="A98:B98"/>
    <mergeCell ref="H100:I100"/>
    <mergeCell ref="K100:L101"/>
    <mergeCell ref="A109:B109"/>
    <mergeCell ref="A113:B113"/>
    <mergeCell ref="B156:C156"/>
    <mergeCell ref="A123:B123"/>
    <mergeCell ref="A127:B127"/>
    <mergeCell ref="A128:B128"/>
    <mergeCell ref="A131:C131"/>
    <mergeCell ref="H141:I141"/>
    <mergeCell ref="H151:I151"/>
    <mergeCell ref="A152:C152"/>
    <mergeCell ref="A153:C153"/>
    <mergeCell ref="A154:C154"/>
    <mergeCell ref="J226:K226"/>
    <mergeCell ref="A164:B164"/>
    <mergeCell ref="A165:B165"/>
    <mergeCell ref="L175:L176"/>
    <mergeCell ref="F183:G183"/>
    <mergeCell ref="C207:C208"/>
    <mergeCell ref="D207:E207"/>
    <mergeCell ref="L207:L208"/>
    <mergeCell ref="M207:N207"/>
    <mergeCell ref="D208:E208"/>
    <mergeCell ref="M208:N208"/>
    <mergeCell ref="K218:K222"/>
    <mergeCell ref="J223:K223"/>
    <mergeCell ref="A233:B233"/>
    <mergeCell ref="J227:K227"/>
    <mergeCell ref="B228:B229"/>
    <mergeCell ref="D228:D229"/>
    <mergeCell ref="E228:E229"/>
    <mergeCell ref="F228:F229"/>
    <mergeCell ref="G228:G229"/>
    <mergeCell ref="I228:I229"/>
    <mergeCell ref="J228:J229"/>
    <mergeCell ref="K228:K229"/>
    <mergeCell ref="B230:B231"/>
    <mergeCell ref="D230:D231"/>
    <mergeCell ref="E230:E231"/>
    <mergeCell ref="F230:F231"/>
    <mergeCell ref="A232:B232"/>
    <mergeCell ref="AE297:AF297"/>
    <mergeCell ref="M301:M302"/>
    <mergeCell ref="AA282:AC282"/>
    <mergeCell ref="N286:N288"/>
    <mergeCell ref="S296:X296"/>
    <mergeCell ref="Y296:AB296"/>
    <mergeCell ref="AC296:AF296"/>
    <mergeCell ref="S297:U297"/>
    <mergeCell ref="V297:X297"/>
    <mergeCell ref="Y297:Z297"/>
    <mergeCell ref="AA297:AB297"/>
    <mergeCell ref="AC297:AD297"/>
  </mergeCells>
  <conditionalFormatting sqref="A164">
    <cfRule type="expression" dxfId="23" priority="17">
      <formula>#REF!="NO"</formula>
    </cfRule>
  </conditionalFormatting>
  <conditionalFormatting sqref="A232">
    <cfRule type="expression" dxfId="22" priority="13">
      <formula>#REF!="NO"</formula>
    </cfRule>
  </conditionalFormatting>
  <conditionalFormatting sqref="A128:F128">
    <cfRule type="expression" dxfId="21" priority="22">
      <formula>$M$128="NO"</formula>
    </cfRule>
  </conditionalFormatting>
  <conditionalFormatting sqref="A165:F165">
    <cfRule type="expression" dxfId="20" priority="20">
      <formula>$M$165="NO"</formula>
    </cfRule>
  </conditionalFormatting>
  <conditionalFormatting sqref="A233:F233">
    <cfRule type="expression" dxfId="19" priority="21">
      <formula>$M$233="NO"</formula>
    </cfRule>
  </conditionalFormatting>
  <conditionalFormatting sqref="A56:L56">
    <cfRule type="expression" dxfId="18" priority="18">
      <formula>$M$56="Chưa OK"</formula>
    </cfRule>
  </conditionalFormatting>
  <conditionalFormatting sqref="A98:L98">
    <cfRule type="expression" dxfId="17" priority="5">
      <formula>$M$98="NO"</formula>
    </cfRule>
  </conditionalFormatting>
  <conditionalFormatting sqref="A109:L109">
    <cfRule type="expression" dxfId="16" priority="4">
      <formula>$M$109="NO"</formula>
    </cfRule>
  </conditionalFormatting>
  <conditionalFormatting sqref="A113:L113">
    <cfRule type="expression" dxfId="15" priority="3">
      <formula>$M$113="NO"</formula>
    </cfRule>
  </conditionalFormatting>
  <conditionalFormatting sqref="A123:L123">
    <cfRule type="expression" dxfId="14" priority="1">
      <formula>$M$123="NO"</formula>
    </cfRule>
  </conditionalFormatting>
  <conditionalFormatting sqref="A127:L127">
    <cfRule type="expression" dxfId="13" priority="2">
      <formula>$M$127="NO"</formula>
    </cfRule>
  </conditionalFormatting>
  <conditionalFormatting sqref="A164:L164">
    <cfRule type="expression" dxfId="12" priority="9">
      <formula>$N$164="Thép lớn quá"</formula>
    </cfRule>
  </conditionalFormatting>
  <conditionalFormatting sqref="A232:L232">
    <cfRule type="expression" dxfId="11" priority="8">
      <formula>$N$232="Thép quá lớn"</formula>
    </cfRule>
    <cfRule type="expression" dxfId="10" priority="10">
      <formula>$M$232="NO"</formula>
    </cfRule>
  </conditionalFormatting>
  <conditionalFormatting sqref="B169:F169">
    <cfRule type="expression" dxfId="9" priority="24">
      <formula>$M$168="NO"</formula>
    </cfRule>
  </conditionalFormatting>
  <conditionalFormatting sqref="B237:F237">
    <cfRule type="expression" dxfId="8" priority="23">
      <formula>$M$236="NO"</formula>
    </cfRule>
  </conditionalFormatting>
  <conditionalFormatting sqref="C164 F164 H164 F232 H232">
    <cfRule type="expression" dxfId="7" priority="19">
      <formula>$M$164="NO"</formula>
    </cfRule>
  </conditionalFormatting>
  <conditionalFormatting sqref="C232">
    <cfRule type="expression" dxfId="6" priority="14">
      <formula>$M$164="NO"</formula>
    </cfRule>
  </conditionalFormatting>
  <conditionalFormatting sqref="E164">
    <cfRule type="expression" dxfId="5" priority="15">
      <formula>#REF!="NO"</formula>
    </cfRule>
  </conditionalFormatting>
  <conditionalFormatting sqref="E232">
    <cfRule type="expression" dxfId="4" priority="11">
      <formula>#REF!="NO"</formula>
    </cfRule>
  </conditionalFormatting>
  <conditionalFormatting sqref="G164">
    <cfRule type="expression" dxfId="3" priority="16">
      <formula>#REF!="NO"</formula>
    </cfRule>
  </conditionalFormatting>
  <conditionalFormatting sqref="G232">
    <cfRule type="expression" dxfId="2" priority="12">
      <formula>#REF!="NO"</formula>
    </cfRule>
  </conditionalFormatting>
  <conditionalFormatting sqref="M98">
    <cfRule type="expression" dxfId="1" priority="7">
      <formula>$M$109="NO"</formula>
    </cfRule>
  </conditionalFormatting>
  <conditionalFormatting sqref="M113">
    <cfRule type="expression" dxfId="0" priority="6">
      <formula>$M$109="NO"</formula>
    </cfRule>
  </conditionalFormatting>
  <dataValidations count="7">
    <dataValidation type="list" allowBlank="1" showInputMessage="1" showErrorMessage="1" sqref="N3" xr:uid="{D06470AB-953E-4A52-A9CB-67D5080209B5}">
      <formula1>"TKCS,TKKT,TKBVTC"</formula1>
    </dataValidation>
    <dataValidation type="list" allowBlank="1" showInputMessage="1" showErrorMessage="1" sqref="E58" xr:uid="{86D2BFC9-30EE-4612-887B-8405F5A44B43}">
      <formula1>"M200,M250,M300,M350,M400"</formula1>
    </dataValidation>
    <dataValidation type="list" allowBlank="1" showInputMessage="1" showErrorMessage="1" sqref="C164 C232" xr:uid="{AE7058D8-93B4-47BD-A850-1840A7791AFC}">
      <formula1>"12,14,16,18,20,22,25,28,30"</formula1>
    </dataValidation>
    <dataValidation type="list" allowBlank="1" showInputMessage="1" showErrorMessage="1" sqref="C127 C109 C113 C98 C123" xr:uid="{0A7216A2-07FE-45BA-A55C-EF6E125241A9}">
      <formula1>"10,12,14,16"</formula1>
    </dataValidation>
    <dataValidation type="list" allowBlank="1" showInputMessage="1" showErrorMessage="1" errorTitle="Lỗi" error="Không có dữ liệu" sqref="L29" xr:uid="{C021B669-B7FE-4253-8383-15A29C951789}">
      <formula1>"M36-250, M42-250, M48-250, M56, M64, M72, M80, M90"</formula1>
    </dataValidation>
    <dataValidation type="list" allowBlank="1" showInputMessage="1" showErrorMessage="1" sqref="C2" xr:uid="{AEF73357-FA1D-452D-B48F-831C1C548F1F}">
      <formula1>"TKCS, TKBVTC"</formula1>
    </dataValidation>
    <dataValidation type="list" allowBlank="1" showInputMessage="1" showErrorMessage="1" sqref="C3" xr:uid="{DD59F714-BC64-4686-8464-69D125F50B24}">
      <formula1>"ĐỠ, NÉO GÓC, NÉO DỪNG"</formula1>
    </dataValidation>
  </dataValidations>
  <printOptions horizontalCentered="1"/>
  <pageMargins left="0.196850393700787" right="0.196850393700787" top="0.39370078740157499" bottom="0.39370078740157499" header="0" footer="0"/>
  <pageSetup paperSize="9" scale="72" orientation="portrait" blackAndWhite="1" r:id="rId1"/>
  <headerFooter alignWithMargins="0">
    <oddFooter xml:space="preserve">&amp;C
&amp;R&amp;12&amp;Y </oddFooter>
  </headerFooter>
  <rowBreaks count="2" manualBreakCount="2">
    <brk id="56" max="11" man="1"/>
    <brk id="192" max="11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42AC-5FF2-46D4-9475-5B1D24A4FDC4}">
  <dimension ref="A1:BG129"/>
  <sheetViews>
    <sheetView tabSelected="1" zoomScaleNormal="100" workbookViewId="0">
      <selection activeCell="Q7" sqref="Q7"/>
    </sheetView>
  </sheetViews>
  <sheetFormatPr defaultRowHeight="15.5"/>
  <cols>
    <col min="1" max="1" width="8.796875" style="771"/>
    <col min="2" max="2" width="6" style="771" customWidth="1"/>
    <col min="3" max="4" width="6.59765625" style="771" customWidth="1"/>
    <col min="5" max="5" width="7" style="771" customWidth="1"/>
    <col min="6" max="6" width="8.796875" style="771"/>
    <col min="7" max="7" width="7.5" style="771" customWidth="1"/>
    <col min="8" max="8" width="8.796875" style="771"/>
    <col min="9" max="9" width="5" style="771" customWidth="1"/>
    <col min="10" max="13" width="8.796875" style="771"/>
    <col min="14" max="14" width="8.09765625" style="771" customWidth="1"/>
    <col min="15" max="15" width="8.5" style="771" customWidth="1"/>
    <col min="16" max="16" width="8.796875" style="771"/>
    <col min="17" max="17" width="9" style="771" customWidth="1"/>
    <col min="18" max="18" width="8.5" style="771" customWidth="1"/>
    <col min="19" max="20" width="8.796875" style="771"/>
    <col min="21" max="22" width="12.59765625" style="771" customWidth="1"/>
    <col min="23" max="26" width="9.59765625" style="771" customWidth="1"/>
    <col min="27" max="27" width="17.59765625" style="771" customWidth="1"/>
    <col min="28" max="28" width="11.69921875" style="771" customWidth="1"/>
    <col min="29" max="257" width="8.796875" style="771"/>
    <col min="258" max="258" width="6" style="771" customWidth="1"/>
    <col min="259" max="260" width="6.59765625" style="771" customWidth="1"/>
    <col min="261" max="261" width="7" style="771" customWidth="1"/>
    <col min="262" max="262" width="8.796875" style="771"/>
    <col min="263" max="263" width="7.5" style="771" customWidth="1"/>
    <col min="264" max="264" width="8.796875" style="771"/>
    <col min="265" max="265" width="5" style="771" customWidth="1"/>
    <col min="266" max="269" width="8.796875" style="771"/>
    <col min="270" max="270" width="8.09765625" style="771" customWidth="1"/>
    <col min="271" max="271" width="8.5" style="771" customWidth="1"/>
    <col min="272" max="272" width="8.796875" style="771"/>
    <col min="273" max="273" width="9" style="771" customWidth="1"/>
    <col min="274" max="274" width="8.5" style="771" customWidth="1"/>
    <col min="275" max="276" width="8.796875" style="771"/>
    <col min="277" max="278" width="12.59765625" style="771" customWidth="1"/>
    <col min="279" max="282" width="9.59765625" style="771" customWidth="1"/>
    <col min="283" max="283" width="17.59765625" style="771" customWidth="1"/>
    <col min="284" max="284" width="11.69921875" style="771" customWidth="1"/>
    <col min="285" max="513" width="8.796875" style="771"/>
    <col min="514" max="514" width="6" style="771" customWidth="1"/>
    <col min="515" max="516" width="6.59765625" style="771" customWidth="1"/>
    <col min="517" max="517" width="7" style="771" customWidth="1"/>
    <col min="518" max="518" width="8.796875" style="771"/>
    <col min="519" max="519" width="7.5" style="771" customWidth="1"/>
    <col min="520" max="520" width="8.796875" style="771"/>
    <col min="521" max="521" width="5" style="771" customWidth="1"/>
    <col min="522" max="525" width="8.796875" style="771"/>
    <col min="526" max="526" width="8.09765625" style="771" customWidth="1"/>
    <col min="527" max="527" width="8.5" style="771" customWidth="1"/>
    <col min="528" max="528" width="8.796875" style="771"/>
    <col min="529" max="529" width="9" style="771" customWidth="1"/>
    <col min="530" max="530" width="8.5" style="771" customWidth="1"/>
    <col min="531" max="532" width="8.796875" style="771"/>
    <col min="533" max="534" width="12.59765625" style="771" customWidth="1"/>
    <col min="535" max="538" width="9.59765625" style="771" customWidth="1"/>
    <col min="539" max="539" width="17.59765625" style="771" customWidth="1"/>
    <col min="540" max="540" width="11.69921875" style="771" customWidth="1"/>
    <col min="541" max="769" width="8.796875" style="771"/>
    <col min="770" max="770" width="6" style="771" customWidth="1"/>
    <col min="771" max="772" width="6.59765625" style="771" customWidth="1"/>
    <col min="773" max="773" width="7" style="771" customWidth="1"/>
    <col min="774" max="774" width="8.796875" style="771"/>
    <col min="775" max="775" width="7.5" style="771" customWidth="1"/>
    <col min="776" max="776" width="8.796875" style="771"/>
    <col min="777" max="777" width="5" style="771" customWidth="1"/>
    <col min="778" max="781" width="8.796875" style="771"/>
    <col min="782" max="782" width="8.09765625" style="771" customWidth="1"/>
    <col min="783" max="783" width="8.5" style="771" customWidth="1"/>
    <col min="784" max="784" width="8.796875" style="771"/>
    <col min="785" max="785" width="9" style="771" customWidth="1"/>
    <col min="786" max="786" width="8.5" style="771" customWidth="1"/>
    <col min="787" max="788" width="8.796875" style="771"/>
    <col min="789" max="790" width="12.59765625" style="771" customWidth="1"/>
    <col min="791" max="794" width="9.59765625" style="771" customWidth="1"/>
    <col min="795" max="795" width="17.59765625" style="771" customWidth="1"/>
    <col min="796" max="796" width="11.69921875" style="771" customWidth="1"/>
    <col min="797" max="1025" width="8.796875" style="771"/>
    <col min="1026" max="1026" width="6" style="771" customWidth="1"/>
    <col min="1027" max="1028" width="6.59765625" style="771" customWidth="1"/>
    <col min="1029" max="1029" width="7" style="771" customWidth="1"/>
    <col min="1030" max="1030" width="8.796875" style="771"/>
    <col min="1031" max="1031" width="7.5" style="771" customWidth="1"/>
    <col min="1032" max="1032" width="8.796875" style="771"/>
    <col min="1033" max="1033" width="5" style="771" customWidth="1"/>
    <col min="1034" max="1037" width="8.796875" style="771"/>
    <col min="1038" max="1038" width="8.09765625" style="771" customWidth="1"/>
    <col min="1039" max="1039" width="8.5" style="771" customWidth="1"/>
    <col min="1040" max="1040" width="8.796875" style="771"/>
    <col min="1041" max="1041" width="9" style="771" customWidth="1"/>
    <col min="1042" max="1042" width="8.5" style="771" customWidth="1"/>
    <col min="1043" max="1044" width="8.796875" style="771"/>
    <col min="1045" max="1046" width="12.59765625" style="771" customWidth="1"/>
    <col min="1047" max="1050" width="9.59765625" style="771" customWidth="1"/>
    <col min="1051" max="1051" width="17.59765625" style="771" customWidth="1"/>
    <col min="1052" max="1052" width="11.69921875" style="771" customWidth="1"/>
    <col min="1053" max="1281" width="8.796875" style="771"/>
    <col min="1282" max="1282" width="6" style="771" customWidth="1"/>
    <col min="1283" max="1284" width="6.59765625" style="771" customWidth="1"/>
    <col min="1285" max="1285" width="7" style="771" customWidth="1"/>
    <col min="1286" max="1286" width="8.796875" style="771"/>
    <col min="1287" max="1287" width="7.5" style="771" customWidth="1"/>
    <col min="1288" max="1288" width="8.796875" style="771"/>
    <col min="1289" max="1289" width="5" style="771" customWidth="1"/>
    <col min="1290" max="1293" width="8.796875" style="771"/>
    <col min="1294" max="1294" width="8.09765625" style="771" customWidth="1"/>
    <col min="1295" max="1295" width="8.5" style="771" customWidth="1"/>
    <col min="1296" max="1296" width="8.796875" style="771"/>
    <col min="1297" max="1297" width="9" style="771" customWidth="1"/>
    <col min="1298" max="1298" width="8.5" style="771" customWidth="1"/>
    <col min="1299" max="1300" width="8.796875" style="771"/>
    <col min="1301" max="1302" width="12.59765625" style="771" customWidth="1"/>
    <col min="1303" max="1306" width="9.59765625" style="771" customWidth="1"/>
    <col min="1307" max="1307" width="17.59765625" style="771" customWidth="1"/>
    <col min="1308" max="1308" width="11.69921875" style="771" customWidth="1"/>
    <col min="1309" max="1537" width="8.796875" style="771"/>
    <col min="1538" max="1538" width="6" style="771" customWidth="1"/>
    <col min="1539" max="1540" width="6.59765625" style="771" customWidth="1"/>
    <col min="1541" max="1541" width="7" style="771" customWidth="1"/>
    <col min="1542" max="1542" width="8.796875" style="771"/>
    <col min="1543" max="1543" width="7.5" style="771" customWidth="1"/>
    <col min="1544" max="1544" width="8.796875" style="771"/>
    <col min="1545" max="1545" width="5" style="771" customWidth="1"/>
    <col min="1546" max="1549" width="8.796875" style="771"/>
    <col min="1550" max="1550" width="8.09765625" style="771" customWidth="1"/>
    <col min="1551" max="1551" width="8.5" style="771" customWidth="1"/>
    <col min="1552" max="1552" width="8.796875" style="771"/>
    <col min="1553" max="1553" width="9" style="771" customWidth="1"/>
    <col min="1554" max="1554" width="8.5" style="771" customWidth="1"/>
    <col min="1555" max="1556" width="8.796875" style="771"/>
    <col min="1557" max="1558" width="12.59765625" style="771" customWidth="1"/>
    <col min="1559" max="1562" width="9.59765625" style="771" customWidth="1"/>
    <col min="1563" max="1563" width="17.59765625" style="771" customWidth="1"/>
    <col min="1564" max="1564" width="11.69921875" style="771" customWidth="1"/>
    <col min="1565" max="1793" width="8.796875" style="771"/>
    <col min="1794" max="1794" width="6" style="771" customWidth="1"/>
    <col min="1795" max="1796" width="6.59765625" style="771" customWidth="1"/>
    <col min="1797" max="1797" width="7" style="771" customWidth="1"/>
    <col min="1798" max="1798" width="8.796875" style="771"/>
    <col min="1799" max="1799" width="7.5" style="771" customWidth="1"/>
    <col min="1800" max="1800" width="8.796875" style="771"/>
    <col min="1801" max="1801" width="5" style="771" customWidth="1"/>
    <col min="1802" max="1805" width="8.796875" style="771"/>
    <col min="1806" max="1806" width="8.09765625" style="771" customWidth="1"/>
    <col min="1807" max="1807" width="8.5" style="771" customWidth="1"/>
    <col min="1808" max="1808" width="8.796875" style="771"/>
    <col min="1809" max="1809" width="9" style="771" customWidth="1"/>
    <col min="1810" max="1810" width="8.5" style="771" customWidth="1"/>
    <col min="1811" max="1812" width="8.796875" style="771"/>
    <col min="1813" max="1814" width="12.59765625" style="771" customWidth="1"/>
    <col min="1815" max="1818" width="9.59765625" style="771" customWidth="1"/>
    <col min="1819" max="1819" width="17.59765625" style="771" customWidth="1"/>
    <col min="1820" max="1820" width="11.69921875" style="771" customWidth="1"/>
    <col min="1821" max="2049" width="8.796875" style="771"/>
    <col min="2050" max="2050" width="6" style="771" customWidth="1"/>
    <col min="2051" max="2052" width="6.59765625" style="771" customWidth="1"/>
    <col min="2053" max="2053" width="7" style="771" customWidth="1"/>
    <col min="2054" max="2054" width="8.796875" style="771"/>
    <col min="2055" max="2055" width="7.5" style="771" customWidth="1"/>
    <col min="2056" max="2056" width="8.796875" style="771"/>
    <col min="2057" max="2057" width="5" style="771" customWidth="1"/>
    <col min="2058" max="2061" width="8.796875" style="771"/>
    <col min="2062" max="2062" width="8.09765625" style="771" customWidth="1"/>
    <col min="2063" max="2063" width="8.5" style="771" customWidth="1"/>
    <col min="2064" max="2064" width="8.796875" style="771"/>
    <col min="2065" max="2065" width="9" style="771" customWidth="1"/>
    <col min="2066" max="2066" width="8.5" style="771" customWidth="1"/>
    <col min="2067" max="2068" width="8.796875" style="771"/>
    <col min="2069" max="2070" width="12.59765625" style="771" customWidth="1"/>
    <col min="2071" max="2074" width="9.59765625" style="771" customWidth="1"/>
    <col min="2075" max="2075" width="17.59765625" style="771" customWidth="1"/>
    <col min="2076" max="2076" width="11.69921875" style="771" customWidth="1"/>
    <col min="2077" max="2305" width="8.796875" style="771"/>
    <col min="2306" max="2306" width="6" style="771" customWidth="1"/>
    <col min="2307" max="2308" width="6.59765625" style="771" customWidth="1"/>
    <col min="2309" max="2309" width="7" style="771" customWidth="1"/>
    <col min="2310" max="2310" width="8.796875" style="771"/>
    <col min="2311" max="2311" width="7.5" style="771" customWidth="1"/>
    <col min="2312" max="2312" width="8.796875" style="771"/>
    <col min="2313" max="2313" width="5" style="771" customWidth="1"/>
    <col min="2314" max="2317" width="8.796875" style="771"/>
    <col min="2318" max="2318" width="8.09765625" style="771" customWidth="1"/>
    <col min="2319" max="2319" width="8.5" style="771" customWidth="1"/>
    <col min="2320" max="2320" width="8.796875" style="771"/>
    <col min="2321" max="2321" width="9" style="771" customWidth="1"/>
    <col min="2322" max="2322" width="8.5" style="771" customWidth="1"/>
    <col min="2323" max="2324" width="8.796875" style="771"/>
    <col min="2325" max="2326" width="12.59765625" style="771" customWidth="1"/>
    <col min="2327" max="2330" width="9.59765625" style="771" customWidth="1"/>
    <col min="2331" max="2331" width="17.59765625" style="771" customWidth="1"/>
    <col min="2332" max="2332" width="11.69921875" style="771" customWidth="1"/>
    <col min="2333" max="2561" width="8.796875" style="771"/>
    <col min="2562" max="2562" width="6" style="771" customWidth="1"/>
    <col min="2563" max="2564" width="6.59765625" style="771" customWidth="1"/>
    <col min="2565" max="2565" width="7" style="771" customWidth="1"/>
    <col min="2566" max="2566" width="8.796875" style="771"/>
    <col min="2567" max="2567" width="7.5" style="771" customWidth="1"/>
    <col min="2568" max="2568" width="8.796875" style="771"/>
    <col min="2569" max="2569" width="5" style="771" customWidth="1"/>
    <col min="2570" max="2573" width="8.796875" style="771"/>
    <col min="2574" max="2574" width="8.09765625" style="771" customWidth="1"/>
    <col min="2575" max="2575" width="8.5" style="771" customWidth="1"/>
    <col min="2576" max="2576" width="8.796875" style="771"/>
    <col min="2577" max="2577" width="9" style="771" customWidth="1"/>
    <col min="2578" max="2578" width="8.5" style="771" customWidth="1"/>
    <col min="2579" max="2580" width="8.796875" style="771"/>
    <col min="2581" max="2582" width="12.59765625" style="771" customWidth="1"/>
    <col min="2583" max="2586" width="9.59765625" style="771" customWidth="1"/>
    <col min="2587" max="2587" width="17.59765625" style="771" customWidth="1"/>
    <col min="2588" max="2588" width="11.69921875" style="771" customWidth="1"/>
    <col min="2589" max="2817" width="8.796875" style="771"/>
    <col min="2818" max="2818" width="6" style="771" customWidth="1"/>
    <col min="2819" max="2820" width="6.59765625" style="771" customWidth="1"/>
    <col min="2821" max="2821" width="7" style="771" customWidth="1"/>
    <col min="2822" max="2822" width="8.796875" style="771"/>
    <col min="2823" max="2823" width="7.5" style="771" customWidth="1"/>
    <col min="2824" max="2824" width="8.796875" style="771"/>
    <col min="2825" max="2825" width="5" style="771" customWidth="1"/>
    <col min="2826" max="2829" width="8.796875" style="771"/>
    <col min="2830" max="2830" width="8.09765625" style="771" customWidth="1"/>
    <col min="2831" max="2831" width="8.5" style="771" customWidth="1"/>
    <col min="2832" max="2832" width="8.796875" style="771"/>
    <col min="2833" max="2833" width="9" style="771" customWidth="1"/>
    <col min="2834" max="2834" width="8.5" style="771" customWidth="1"/>
    <col min="2835" max="2836" width="8.796875" style="771"/>
    <col min="2837" max="2838" width="12.59765625" style="771" customWidth="1"/>
    <col min="2839" max="2842" width="9.59765625" style="771" customWidth="1"/>
    <col min="2843" max="2843" width="17.59765625" style="771" customWidth="1"/>
    <col min="2844" max="2844" width="11.69921875" style="771" customWidth="1"/>
    <col min="2845" max="3073" width="8.796875" style="771"/>
    <col min="3074" max="3074" width="6" style="771" customWidth="1"/>
    <col min="3075" max="3076" width="6.59765625" style="771" customWidth="1"/>
    <col min="3077" max="3077" width="7" style="771" customWidth="1"/>
    <col min="3078" max="3078" width="8.796875" style="771"/>
    <col min="3079" max="3079" width="7.5" style="771" customWidth="1"/>
    <col min="3080" max="3080" width="8.796875" style="771"/>
    <col min="3081" max="3081" width="5" style="771" customWidth="1"/>
    <col min="3082" max="3085" width="8.796875" style="771"/>
    <col min="3086" max="3086" width="8.09765625" style="771" customWidth="1"/>
    <col min="3087" max="3087" width="8.5" style="771" customWidth="1"/>
    <col min="3088" max="3088" width="8.796875" style="771"/>
    <col min="3089" max="3089" width="9" style="771" customWidth="1"/>
    <col min="3090" max="3090" width="8.5" style="771" customWidth="1"/>
    <col min="3091" max="3092" width="8.796875" style="771"/>
    <col min="3093" max="3094" width="12.59765625" style="771" customWidth="1"/>
    <col min="3095" max="3098" width="9.59765625" style="771" customWidth="1"/>
    <col min="3099" max="3099" width="17.59765625" style="771" customWidth="1"/>
    <col min="3100" max="3100" width="11.69921875" style="771" customWidth="1"/>
    <col min="3101" max="3329" width="8.796875" style="771"/>
    <col min="3330" max="3330" width="6" style="771" customWidth="1"/>
    <col min="3331" max="3332" width="6.59765625" style="771" customWidth="1"/>
    <col min="3333" max="3333" width="7" style="771" customWidth="1"/>
    <col min="3334" max="3334" width="8.796875" style="771"/>
    <col min="3335" max="3335" width="7.5" style="771" customWidth="1"/>
    <col min="3336" max="3336" width="8.796875" style="771"/>
    <col min="3337" max="3337" width="5" style="771" customWidth="1"/>
    <col min="3338" max="3341" width="8.796875" style="771"/>
    <col min="3342" max="3342" width="8.09765625" style="771" customWidth="1"/>
    <col min="3343" max="3343" width="8.5" style="771" customWidth="1"/>
    <col min="3344" max="3344" width="8.796875" style="771"/>
    <col min="3345" max="3345" width="9" style="771" customWidth="1"/>
    <col min="3346" max="3346" width="8.5" style="771" customWidth="1"/>
    <col min="3347" max="3348" width="8.796875" style="771"/>
    <col min="3349" max="3350" width="12.59765625" style="771" customWidth="1"/>
    <col min="3351" max="3354" width="9.59765625" style="771" customWidth="1"/>
    <col min="3355" max="3355" width="17.59765625" style="771" customWidth="1"/>
    <col min="3356" max="3356" width="11.69921875" style="771" customWidth="1"/>
    <col min="3357" max="3585" width="8.796875" style="771"/>
    <col min="3586" max="3586" width="6" style="771" customWidth="1"/>
    <col min="3587" max="3588" width="6.59765625" style="771" customWidth="1"/>
    <col min="3589" max="3589" width="7" style="771" customWidth="1"/>
    <col min="3590" max="3590" width="8.796875" style="771"/>
    <col min="3591" max="3591" width="7.5" style="771" customWidth="1"/>
    <col min="3592" max="3592" width="8.796875" style="771"/>
    <col min="3593" max="3593" width="5" style="771" customWidth="1"/>
    <col min="3594" max="3597" width="8.796875" style="771"/>
    <col min="3598" max="3598" width="8.09765625" style="771" customWidth="1"/>
    <col min="3599" max="3599" width="8.5" style="771" customWidth="1"/>
    <col min="3600" max="3600" width="8.796875" style="771"/>
    <col min="3601" max="3601" width="9" style="771" customWidth="1"/>
    <col min="3602" max="3602" width="8.5" style="771" customWidth="1"/>
    <col min="3603" max="3604" width="8.796875" style="771"/>
    <col min="3605" max="3606" width="12.59765625" style="771" customWidth="1"/>
    <col min="3607" max="3610" width="9.59765625" style="771" customWidth="1"/>
    <col min="3611" max="3611" width="17.59765625" style="771" customWidth="1"/>
    <col min="3612" max="3612" width="11.69921875" style="771" customWidth="1"/>
    <col min="3613" max="3841" width="8.796875" style="771"/>
    <col min="3842" max="3842" width="6" style="771" customWidth="1"/>
    <col min="3843" max="3844" width="6.59765625" style="771" customWidth="1"/>
    <col min="3845" max="3845" width="7" style="771" customWidth="1"/>
    <col min="3846" max="3846" width="8.796875" style="771"/>
    <col min="3847" max="3847" width="7.5" style="771" customWidth="1"/>
    <col min="3848" max="3848" width="8.796875" style="771"/>
    <col min="3849" max="3849" width="5" style="771" customWidth="1"/>
    <col min="3850" max="3853" width="8.796875" style="771"/>
    <col min="3854" max="3854" width="8.09765625" style="771" customWidth="1"/>
    <col min="3855" max="3855" width="8.5" style="771" customWidth="1"/>
    <col min="3856" max="3856" width="8.796875" style="771"/>
    <col min="3857" max="3857" width="9" style="771" customWidth="1"/>
    <col min="3858" max="3858" width="8.5" style="771" customWidth="1"/>
    <col min="3859" max="3860" width="8.796875" style="771"/>
    <col min="3861" max="3862" width="12.59765625" style="771" customWidth="1"/>
    <col min="3863" max="3866" width="9.59765625" style="771" customWidth="1"/>
    <col min="3867" max="3867" width="17.59765625" style="771" customWidth="1"/>
    <col min="3868" max="3868" width="11.69921875" style="771" customWidth="1"/>
    <col min="3869" max="4097" width="8.796875" style="771"/>
    <col min="4098" max="4098" width="6" style="771" customWidth="1"/>
    <col min="4099" max="4100" width="6.59765625" style="771" customWidth="1"/>
    <col min="4101" max="4101" width="7" style="771" customWidth="1"/>
    <col min="4102" max="4102" width="8.796875" style="771"/>
    <col min="4103" max="4103" width="7.5" style="771" customWidth="1"/>
    <col min="4104" max="4104" width="8.796875" style="771"/>
    <col min="4105" max="4105" width="5" style="771" customWidth="1"/>
    <col min="4106" max="4109" width="8.796875" style="771"/>
    <col min="4110" max="4110" width="8.09765625" style="771" customWidth="1"/>
    <col min="4111" max="4111" width="8.5" style="771" customWidth="1"/>
    <col min="4112" max="4112" width="8.796875" style="771"/>
    <col min="4113" max="4113" width="9" style="771" customWidth="1"/>
    <col min="4114" max="4114" width="8.5" style="771" customWidth="1"/>
    <col min="4115" max="4116" width="8.796875" style="771"/>
    <col min="4117" max="4118" width="12.59765625" style="771" customWidth="1"/>
    <col min="4119" max="4122" width="9.59765625" style="771" customWidth="1"/>
    <col min="4123" max="4123" width="17.59765625" style="771" customWidth="1"/>
    <col min="4124" max="4124" width="11.69921875" style="771" customWidth="1"/>
    <col min="4125" max="4353" width="8.796875" style="771"/>
    <col min="4354" max="4354" width="6" style="771" customWidth="1"/>
    <col min="4355" max="4356" width="6.59765625" style="771" customWidth="1"/>
    <col min="4357" max="4357" width="7" style="771" customWidth="1"/>
    <col min="4358" max="4358" width="8.796875" style="771"/>
    <col min="4359" max="4359" width="7.5" style="771" customWidth="1"/>
    <col min="4360" max="4360" width="8.796875" style="771"/>
    <col min="4361" max="4361" width="5" style="771" customWidth="1"/>
    <col min="4362" max="4365" width="8.796875" style="771"/>
    <col min="4366" max="4366" width="8.09765625" style="771" customWidth="1"/>
    <col min="4367" max="4367" width="8.5" style="771" customWidth="1"/>
    <col min="4368" max="4368" width="8.796875" style="771"/>
    <col min="4369" max="4369" width="9" style="771" customWidth="1"/>
    <col min="4370" max="4370" width="8.5" style="771" customWidth="1"/>
    <col min="4371" max="4372" width="8.796875" style="771"/>
    <col min="4373" max="4374" width="12.59765625" style="771" customWidth="1"/>
    <col min="4375" max="4378" width="9.59765625" style="771" customWidth="1"/>
    <col min="4379" max="4379" width="17.59765625" style="771" customWidth="1"/>
    <col min="4380" max="4380" width="11.69921875" style="771" customWidth="1"/>
    <col min="4381" max="4609" width="8.796875" style="771"/>
    <col min="4610" max="4610" width="6" style="771" customWidth="1"/>
    <col min="4611" max="4612" width="6.59765625" style="771" customWidth="1"/>
    <col min="4613" max="4613" width="7" style="771" customWidth="1"/>
    <col min="4614" max="4614" width="8.796875" style="771"/>
    <col min="4615" max="4615" width="7.5" style="771" customWidth="1"/>
    <col min="4616" max="4616" width="8.796875" style="771"/>
    <col min="4617" max="4617" width="5" style="771" customWidth="1"/>
    <col min="4618" max="4621" width="8.796875" style="771"/>
    <col min="4622" max="4622" width="8.09765625" style="771" customWidth="1"/>
    <col min="4623" max="4623" width="8.5" style="771" customWidth="1"/>
    <col min="4624" max="4624" width="8.796875" style="771"/>
    <col min="4625" max="4625" width="9" style="771" customWidth="1"/>
    <col min="4626" max="4626" width="8.5" style="771" customWidth="1"/>
    <col min="4627" max="4628" width="8.796875" style="771"/>
    <col min="4629" max="4630" width="12.59765625" style="771" customWidth="1"/>
    <col min="4631" max="4634" width="9.59765625" style="771" customWidth="1"/>
    <col min="4635" max="4635" width="17.59765625" style="771" customWidth="1"/>
    <col min="4636" max="4636" width="11.69921875" style="771" customWidth="1"/>
    <col min="4637" max="4865" width="8.796875" style="771"/>
    <col min="4866" max="4866" width="6" style="771" customWidth="1"/>
    <col min="4867" max="4868" width="6.59765625" style="771" customWidth="1"/>
    <col min="4869" max="4869" width="7" style="771" customWidth="1"/>
    <col min="4870" max="4870" width="8.796875" style="771"/>
    <col min="4871" max="4871" width="7.5" style="771" customWidth="1"/>
    <col min="4872" max="4872" width="8.796875" style="771"/>
    <col min="4873" max="4873" width="5" style="771" customWidth="1"/>
    <col min="4874" max="4877" width="8.796875" style="771"/>
    <col min="4878" max="4878" width="8.09765625" style="771" customWidth="1"/>
    <col min="4879" max="4879" width="8.5" style="771" customWidth="1"/>
    <col min="4880" max="4880" width="8.796875" style="771"/>
    <col min="4881" max="4881" width="9" style="771" customWidth="1"/>
    <col min="4882" max="4882" width="8.5" style="771" customWidth="1"/>
    <col min="4883" max="4884" width="8.796875" style="771"/>
    <col min="4885" max="4886" width="12.59765625" style="771" customWidth="1"/>
    <col min="4887" max="4890" width="9.59765625" style="771" customWidth="1"/>
    <col min="4891" max="4891" width="17.59765625" style="771" customWidth="1"/>
    <col min="4892" max="4892" width="11.69921875" style="771" customWidth="1"/>
    <col min="4893" max="5121" width="8.796875" style="771"/>
    <col min="5122" max="5122" width="6" style="771" customWidth="1"/>
    <col min="5123" max="5124" width="6.59765625" style="771" customWidth="1"/>
    <col min="5125" max="5125" width="7" style="771" customWidth="1"/>
    <col min="5126" max="5126" width="8.796875" style="771"/>
    <col min="5127" max="5127" width="7.5" style="771" customWidth="1"/>
    <col min="5128" max="5128" width="8.796875" style="771"/>
    <col min="5129" max="5129" width="5" style="771" customWidth="1"/>
    <col min="5130" max="5133" width="8.796875" style="771"/>
    <col min="5134" max="5134" width="8.09765625" style="771" customWidth="1"/>
    <col min="5135" max="5135" width="8.5" style="771" customWidth="1"/>
    <col min="5136" max="5136" width="8.796875" style="771"/>
    <col min="5137" max="5137" width="9" style="771" customWidth="1"/>
    <col min="5138" max="5138" width="8.5" style="771" customWidth="1"/>
    <col min="5139" max="5140" width="8.796875" style="771"/>
    <col min="5141" max="5142" width="12.59765625" style="771" customWidth="1"/>
    <col min="5143" max="5146" width="9.59765625" style="771" customWidth="1"/>
    <col min="5147" max="5147" width="17.59765625" style="771" customWidth="1"/>
    <col min="5148" max="5148" width="11.69921875" style="771" customWidth="1"/>
    <col min="5149" max="5377" width="8.796875" style="771"/>
    <col min="5378" max="5378" width="6" style="771" customWidth="1"/>
    <col min="5379" max="5380" width="6.59765625" style="771" customWidth="1"/>
    <col min="5381" max="5381" width="7" style="771" customWidth="1"/>
    <col min="5382" max="5382" width="8.796875" style="771"/>
    <col min="5383" max="5383" width="7.5" style="771" customWidth="1"/>
    <col min="5384" max="5384" width="8.796875" style="771"/>
    <col min="5385" max="5385" width="5" style="771" customWidth="1"/>
    <col min="5386" max="5389" width="8.796875" style="771"/>
    <col min="5390" max="5390" width="8.09765625" style="771" customWidth="1"/>
    <col min="5391" max="5391" width="8.5" style="771" customWidth="1"/>
    <col min="5392" max="5392" width="8.796875" style="771"/>
    <col min="5393" max="5393" width="9" style="771" customWidth="1"/>
    <col min="5394" max="5394" width="8.5" style="771" customWidth="1"/>
    <col min="5395" max="5396" width="8.796875" style="771"/>
    <col min="5397" max="5398" width="12.59765625" style="771" customWidth="1"/>
    <col min="5399" max="5402" width="9.59765625" style="771" customWidth="1"/>
    <col min="5403" max="5403" width="17.59765625" style="771" customWidth="1"/>
    <col min="5404" max="5404" width="11.69921875" style="771" customWidth="1"/>
    <col min="5405" max="5633" width="8.796875" style="771"/>
    <col min="5634" max="5634" width="6" style="771" customWidth="1"/>
    <col min="5635" max="5636" width="6.59765625" style="771" customWidth="1"/>
    <col min="5637" max="5637" width="7" style="771" customWidth="1"/>
    <col min="5638" max="5638" width="8.796875" style="771"/>
    <col min="5639" max="5639" width="7.5" style="771" customWidth="1"/>
    <col min="5640" max="5640" width="8.796875" style="771"/>
    <col min="5641" max="5641" width="5" style="771" customWidth="1"/>
    <col min="5642" max="5645" width="8.796875" style="771"/>
    <col min="5646" max="5646" width="8.09765625" style="771" customWidth="1"/>
    <col min="5647" max="5647" width="8.5" style="771" customWidth="1"/>
    <col min="5648" max="5648" width="8.796875" style="771"/>
    <col min="5649" max="5649" width="9" style="771" customWidth="1"/>
    <col min="5650" max="5650" width="8.5" style="771" customWidth="1"/>
    <col min="5651" max="5652" width="8.796875" style="771"/>
    <col min="5653" max="5654" width="12.59765625" style="771" customWidth="1"/>
    <col min="5655" max="5658" width="9.59765625" style="771" customWidth="1"/>
    <col min="5659" max="5659" width="17.59765625" style="771" customWidth="1"/>
    <col min="5660" max="5660" width="11.69921875" style="771" customWidth="1"/>
    <col min="5661" max="5889" width="8.796875" style="771"/>
    <col min="5890" max="5890" width="6" style="771" customWidth="1"/>
    <col min="5891" max="5892" width="6.59765625" style="771" customWidth="1"/>
    <col min="5893" max="5893" width="7" style="771" customWidth="1"/>
    <col min="5894" max="5894" width="8.796875" style="771"/>
    <col min="5895" max="5895" width="7.5" style="771" customWidth="1"/>
    <col min="5896" max="5896" width="8.796875" style="771"/>
    <col min="5897" max="5897" width="5" style="771" customWidth="1"/>
    <col min="5898" max="5901" width="8.796875" style="771"/>
    <col min="5902" max="5902" width="8.09765625" style="771" customWidth="1"/>
    <col min="5903" max="5903" width="8.5" style="771" customWidth="1"/>
    <col min="5904" max="5904" width="8.796875" style="771"/>
    <col min="5905" max="5905" width="9" style="771" customWidth="1"/>
    <col min="5906" max="5906" width="8.5" style="771" customWidth="1"/>
    <col min="5907" max="5908" width="8.796875" style="771"/>
    <col min="5909" max="5910" width="12.59765625" style="771" customWidth="1"/>
    <col min="5911" max="5914" width="9.59765625" style="771" customWidth="1"/>
    <col min="5915" max="5915" width="17.59765625" style="771" customWidth="1"/>
    <col min="5916" max="5916" width="11.69921875" style="771" customWidth="1"/>
    <col min="5917" max="6145" width="8.796875" style="771"/>
    <col min="6146" max="6146" width="6" style="771" customWidth="1"/>
    <col min="6147" max="6148" width="6.59765625" style="771" customWidth="1"/>
    <col min="6149" max="6149" width="7" style="771" customWidth="1"/>
    <col min="6150" max="6150" width="8.796875" style="771"/>
    <col min="6151" max="6151" width="7.5" style="771" customWidth="1"/>
    <col min="6152" max="6152" width="8.796875" style="771"/>
    <col min="6153" max="6153" width="5" style="771" customWidth="1"/>
    <col min="6154" max="6157" width="8.796875" style="771"/>
    <col min="6158" max="6158" width="8.09765625" style="771" customWidth="1"/>
    <col min="6159" max="6159" width="8.5" style="771" customWidth="1"/>
    <col min="6160" max="6160" width="8.796875" style="771"/>
    <col min="6161" max="6161" width="9" style="771" customWidth="1"/>
    <col min="6162" max="6162" width="8.5" style="771" customWidth="1"/>
    <col min="6163" max="6164" width="8.796875" style="771"/>
    <col min="6165" max="6166" width="12.59765625" style="771" customWidth="1"/>
    <col min="6167" max="6170" width="9.59765625" style="771" customWidth="1"/>
    <col min="6171" max="6171" width="17.59765625" style="771" customWidth="1"/>
    <col min="6172" max="6172" width="11.69921875" style="771" customWidth="1"/>
    <col min="6173" max="6401" width="8.796875" style="771"/>
    <col min="6402" max="6402" width="6" style="771" customWidth="1"/>
    <col min="6403" max="6404" width="6.59765625" style="771" customWidth="1"/>
    <col min="6405" max="6405" width="7" style="771" customWidth="1"/>
    <col min="6406" max="6406" width="8.796875" style="771"/>
    <col min="6407" max="6407" width="7.5" style="771" customWidth="1"/>
    <col min="6408" max="6408" width="8.796875" style="771"/>
    <col min="6409" max="6409" width="5" style="771" customWidth="1"/>
    <col min="6410" max="6413" width="8.796875" style="771"/>
    <col min="6414" max="6414" width="8.09765625" style="771" customWidth="1"/>
    <col min="6415" max="6415" width="8.5" style="771" customWidth="1"/>
    <col min="6416" max="6416" width="8.796875" style="771"/>
    <col min="6417" max="6417" width="9" style="771" customWidth="1"/>
    <col min="6418" max="6418" width="8.5" style="771" customWidth="1"/>
    <col min="6419" max="6420" width="8.796875" style="771"/>
    <col min="6421" max="6422" width="12.59765625" style="771" customWidth="1"/>
    <col min="6423" max="6426" width="9.59765625" style="771" customWidth="1"/>
    <col min="6427" max="6427" width="17.59765625" style="771" customWidth="1"/>
    <col min="6428" max="6428" width="11.69921875" style="771" customWidth="1"/>
    <col min="6429" max="6657" width="8.796875" style="771"/>
    <col min="6658" max="6658" width="6" style="771" customWidth="1"/>
    <col min="6659" max="6660" width="6.59765625" style="771" customWidth="1"/>
    <col min="6661" max="6661" width="7" style="771" customWidth="1"/>
    <col min="6662" max="6662" width="8.796875" style="771"/>
    <col min="6663" max="6663" width="7.5" style="771" customWidth="1"/>
    <col min="6664" max="6664" width="8.796875" style="771"/>
    <col min="6665" max="6665" width="5" style="771" customWidth="1"/>
    <col min="6666" max="6669" width="8.796875" style="771"/>
    <col min="6670" max="6670" width="8.09765625" style="771" customWidth="1"/>
    <col min="6671" max="6671" width="8.5" style="771" customWidth="1"/>
    <col min="6672" max="6672" width="8.796875" style="771"/>
    <col min="6673" max="6673" width="9" style="771" customWidth="1"/>
    <col min="6674" max="6674" width="8.5" style="771" customWidth="1"/>
    <col min="6675" max="6676" width="8.796875" style="771"/>
    <col min="6677" max="6678" width="12.59765625" style="771" customWidth="1"/>
    <col min="6679" max="6682" width="9.59765625" style="771" customWidth="1"/>
    <col min="6683" max="6683" width="17.59765625" style="771" customWidth="1"/>
    <col min="6684" max="6684" width="11.69921875" style="771" customWidth="1"/>
    <col min="6685" max="6913" width="8.796875" style="771"/>
    <col min="6914" max="6914" width="6" style="771" customWidth="1"/>
    <col min="6915" max="6916" width="6.59765625" style="771" customWidth="1"/>
    <col min="6917" max="6917" width="7" style="771" customWidth="1"/>
    <col min="6918" max="6918" width="8.796875" style="771"/>
    <col min="6919" max="6919" width="7.5" style="771" customWidth="1"/>
    <col min="6920" max="6920" width="8.796875" style="771"/>
    <col min="6921" max="6921" width="5" style="771" customWidth="1"/>
    <col min="6922" max="6925" width="8.796875" style="771"/>
    <col min="6926" max="6926" width="8.09765625" style="771" customWidth="1"/>
    <col min="6927" max="6927" width="8.5" style="771" customWidth="1"/>
    <col min="6928" max="6928" width="8.796875" style="771"/>
    <col min="6929" max="6929" width="9" style="771" customWidth="1"/>
    <col min="6930" max="6930" width="8.5" style="771" customWidth="1"/>
    <col min="6931" max="6932" width="8.796875" style="771"/>
    <col min="6933" max="6934" width="12.59765625" style="771" customWidth="1"/>
    <col min="6935" max="6938" width="9.59765625" style="771" customWidth="1"/>
    <col min="6939" max="6939" width="17.59765625" style="771" customWidth="1"/>
    <col min="6940" max="6940" width="11.69921875" style="771" customWidth="1"/>
    <col min="6941" max="7169" width="8.796875" style="771"/>
    <col min="7170" max="7170" width="6" style="771" customWidth="1"/>
    <col min="7171" max="7172" width="6.59765625" style="771" customWidth="1"/>
    <col min="7173" max="7173" width="7" style="771" customWidth="1"/>
    <col min="7174" max="7174" width="8.796875" style="771"/>
    <col min="7175" max="7175" width="7.5" style="771" customWidth="1"/>
    <col min="7176" max="7176" width="8.796875" style="771"/>
    <col min="7177" max="7177" width="5" style="771" customWidth="1"/>
    <col min="7178" max="7181" width="8.796875" style="771"/>
    <col min="7182" max="7182" width="8.09765625" style="771" customWidth="1"/>
    <col min="7183" max="7183" width="8.5" style="771" customWidth="1"/>
    <col min="7184" max="7184" width="8.796875" style="771"/>
    <col min="7185" max="7185" width="9" style="771" customWidth="1"/>
    <col min="7186" max="7186" width="8.5" style="771" customWidth="1"/>
    <col min="7187" max="7188" width="8.796875" style="771"/>
    <col min="7189" max="7190" width="12.59765625" style="771" customWidth="1"/>
    <col min="7191" max="7194" width="9.59765625" style="771" customWidth="1"/>
    <col min="7195" max="7195" width="17.59765625" style="771" customWidth="1"/>
    <col min="7196" max="7196" width="11.69921875" style="771" customWidth="1"/>
    <col min="7197" max="7425" width="8.796875" style="771"/>
    <col min="7426" max="7426" width="6" style="771" customWidth="1"/>
    <col min="7427" max="7428" width="6.59765625" style="771" customWidth="1"/>
    <col min="7429" max="7429" width="7" style="771" customWidth="1"/>
    <col min="7430" max="7430" width="8.796875" style="771"/>
    <col min="7431" max="7431" width="7.5" style="771" customWidth="1"/>
    <col min="7432" max="7432" width="8.796875" style="771"/>
    <col min="7433" max="7433" width="5" style="771" customWidth="1"/>
    <col min="7434" max="7437" width="8.796875" style="771"/>
    <col min="7438" max="7438" width="8.09765625" style="771" customWidth="1"/>
    <col min="7439" max="7439" width="8.5" style="771" customWidth="1"/>
    <col min="7440" max="7440" width="8.796875" style="771"/>
    <col min="7441" max="7441" width="9" style="771" customWidth="1"/>
    <col min="7442" max="7442" width="8.5" style="771" customWidth="1"/>
    <col min="7443" max="7444" width="8.796875" style="771"/>
    <col min="7445" max="7446" width="12.59765625" style="771" customWidth="1"/>
    <col min="7447" max="7450" width="9.59765625" style="771" customWidth="1"/>
    <col min="7451" max="7451" width="17.59765625" style="771" customWidth="1"/>
    <col min="7452" max="7452" width="11.69921875" style="771" customWidth="1"/>
    <col min="7453" max="7681" width="8.796875" style="771"/>
    <col min="7682" max="7682" width="6" style="771" customWidth="1"/>
    <col min="7683" max="7684" width="6.59765625" style="771" customWidth="1"/>
    <col min="7685" max="7685" width="7" style="771" customWidth="1"/>
    <col min="7686" max="7686" width="8.796875" style="771"/>
    <col min="7687" max="7687" width="7.5" style="771" customWidth="1"/>
    <col min="7688" max="7688" width="8.796875" style="771"/>
    <col min="7689" max="7689" width="5" style="771" customWidth="1"/>
    <col min="7690" max="7693" width="8.796875" style="771"/>
    <col min="7694" max="7694" width="8.09765625" style="771" customWidth="1"/>
    <col min="7695" max="7695" width="8.5" style="771" customWidth="1"/>
    <col min="7696" max="7696" width="8.796875" style="771"/>
    <col min="7697" max="7697" width="9" style="771" customWidth="1"/>
    <col min="7698" max="7698" width="8.5" style="771" customWidth="1"/>
    <col min="7699" max="7700" width="8.796875" style="771"/>
    <col min="7701" max="7702" width="12.59765625" style="771" customWidth="1"/>
    <col min="7703" max="7706" width="9.59765625" style="771" customWidth="1"/>
    <col min="7707" max="7707" width="17.59765625" style="771" customWidth="1"/>
    <col min="7708" max="7708" width="11.69921875" style="771" customWidth="1"/>
    <col min="7709" max="7937" width="8.796875" style="771"/>
    <col min="7938" max="7938" width="6" style="771" customWidth="1"/>
    <col min="7939" max="7940" width="6.59765625" style="771" customWidth="1"/>
    <col min="7941" max="7941" width="7" style="771" customWidth="1"/>
    <col min="7942" max="7942" width="8.796875" style="771"/>
    <col min="7943" max="7943" width="7.5" style="771" customWidth="1"/>
    <col min="7944" max="7944" width="8.796875" style="771"/>
    <col min="7945" max="7945" width="5" style="771" customWidth="1"/>
    <col min="7946" max="7949" width="8.796875" style="771"/>
    <col min="7950" max="7950" width="8.09765625" style="771" customWidth="1"/>
    <col min="7951" max="7951" width="8.5" style="771" customWidth="1"/>
    <col min="7952" max="7952" width="8.796875" style="771"/>
    <col min="7953" max="7953" width="9" style="771" customWidth="1"/>
    <col min="7954" max="7954" width="8.5" style="771" customWidth="1"/>
    <col min="7955" max="7956" width="8.796875" style="771"/>
    <col min="7957" max="7958" width="12.59765625" style="771" customWidth="1"/>
    <col min="7959" max="7962" width="9.59765625" style="771" customWidth="1"/>
    <col min="7963" max="7963" width="17.59765625" style="771" customWidth="1"/>
    <col min="7964" max="7964" width="11.69921875" style="771" customWidth="1"/>
    <col min="7965" max="8193" width="8.796875" style="771"/>
    <col min="8194" max="8194" width="6" style="771" customWidth="1"/>
    <col min="8195" max="8196" width="6.59765625" style="771" customWidth="1"/>
    <col min="8197" max="8197" width="7" style="771" customWidth="1"/>
    <col min="8198" max="8198" width="8.796875" style="771"/>
    <col min="8199" max="8199" width="7.5" style="771" customWidth="1"/>
    <col min="8200" max="8200" width="8.796875" style="771"/>
    <col min="8201" max="8201" width="5" style="771" customWidth="1"/>
    <col min="8202" max="8205" width="8.796875" style="771"/>
    <col min="8206" max="8206" width="8.09765625" style="771" customWidth="1"/>
    <col min="8207" max="8207" width="8.5" style="771" customWidth="1"/>
    <col min="8208" max="8208" width="8.796875" style="771"/>
    <col min="8209" max="8209" width="9" style="771" customWidth="1"/>
    <col min="8210" max="8210" width="8.5" style="771" customWidth="1"/>
    <col min="8211" max="8212" width="8.796875" style="771"/>
    <col min="8213" max="8214" width="12.59765625" style="771" customWidth="1"/>
    <col min="8215" max="8218" width="9.59765625" style="771" customWidth="1"/>
    <col min="8219" max="8219" width="17.59765625" style="771" customWidth="1"/>
    <col min="8220" max="8220" width="11.69921875" style="771" customWidth="1"/>
    <col min="8221" max="8449" width="8.796875" style="771"/>
    <col min="8450" max="8450" width="6" style="771" customWidth="1"/>
    <col min="8451" max="8452" width="6.59765625" style="771" customWidth="1"/>
    <col min="8453" max="8453" width="7" style="771" customWidth="1"/>
    <col min="8454" max="8454" width="8.796875" style="771"/>
    <col min="8455" max="8455" width="7.5" style="771" customWidth="1"/>
    <col min="8456" max="8456" width="8.796875" style="771"/>
    <col min="8457" max="8457" width="5" style="771" customWidth="1"/>
    <col min="8458" max="8461" width="8.796875" style="771"/>
    <col min="8462" max="8462" width="8.09765625" style="771" customWidth="1"/>
    <col min="8463" max="8463" width="8.5" style="771" customWidth="1"/>
    <col min="8464" max="8464" width="8.796875" style="771"/>
    <col min="8465" max="8465" width="9" style="771" customWidth="1"/>
    <col min="8466" max="8466" width="8.5" style="771" customWidth="1"/>
    <col min="8467" max="8468" width="8.796875" style="771"/>
    <col min="8469" max="8470" width="12.59765625" style="771" customWidth="1"/>
    <col min="8471" max="8474" width="9.59765625" style="771" customWidth="1"/>
    <col min="8475" max="8475" width="17.59765625" style="771" customWidth="1"/>
    <col min="8476" max="8476" width="11.69921875" style="771" customWidth="1"/>
    <col min="8477" max="8705" width="8.796875" style="771"/>
    <col min="8706" max="8706" width="6" style="771" customWidth="1"/>
    <col min="8707" max="8708" width="6.59765625" style="771" customWidth="1"/>
    <col min="8709" max="8709" width="7" style="771" customWidth="1"/>
    <col min="8710" max="8710" width="8.796875" style="771"/>
    <col min="8711" max="8711" width="7.5" style="771" customWidth="1"/>
    <col min="8712" max="8712" width="8.796875" style="771"/>
    <col min="8713" max="8713" width="5" style="771" customWidth="1"/>
    <col min="8714" max="8717" width="8.796875" style="771"/>
    <col min="8718" max="8718" width="8.09765625" style="771" customWidth="1"/>
    <col min="8719" max="8719" width="8.5" style="771" customWidth="1"/>
    <col min="8720" max="8720" width="8.796875" style="771"/>
    <col min="8721" max="8721" width="9" style="771" customWidth="1"/>
    <col min="8722" max="8722" width="8.5" style="771" customWidth="1"/>
    <col min="8723" max="8724" width="8.796875" style="771"/>
    <col min="8725" max="8726" width="12.59765625" style="771" customWidth="1"/>
    <col min="8727" max="8730" width="9.59765625" style="771" customWidth="1"/>
    <col min="8731" max="8731" width="17.59765625" style="771" customWidth="1"/>
    <col min="8732" max="8732" width="11.69921875" style="771" customWidth="1"/>
    <col min="8733" max="8961" width="8.796875" style="771"/>
    <col min="8962" max="8962" width="6" style="771" customWidth="1"/>
    <col min="8963" max="8964" width="6.59765625" style="771" customWidth="1"/>
    <col min="8965" max="8965" width="7" style="771" customWidth="1"/>
    <col min="8966" max="8966" width="8.796875" style="771"/>
    <col min="8967" max="8967" width="7.5" style="771" customWidth="1"/>
    <col min="8968" max="8968" width="8.796875" style="771"/>
    <col min="8969" max="8969" width="5" style="771" customWidth="1"/>
    <col min="8970" max="8973" width="8.796875" style="771"/>
    <col min="8974" max="8974" width="8.09765625" style="771" customWidth="1"/>
    <col min="8975" max="8975" width="8.5" style="771" customWidth="1"/>
    <col min="8976" max="8976" width="8.796875" style="771"/>
    <col min="8977" max="8977" width="9" style="771" customWidth="1"/>
    <col min="8978" max="8978" width="8.5" style="771" customWidth="1"/>
    <col min="8979" max="8980" width="8.796875" style="771"/>
    <col min="8981" max="8982" width="12.59765625" style="771" customWidth="1"/>
    <col min="8983" max="8986" width="9.59765625" style="771" customWidth="1"/>
    <col min="8987" max="8987" width="17.59765625" style="771" customWidth="1"/>
    <col min="8988" max="8988" width="11.69921875" style="771" customWidth="1"/>
    <col min="8989" max="9217" width="8.796875" style="771"/>
    <col min="9218" max="9218" width="6" style="771" customWidth="1"/>
    <col min="9219" max="9220" width="6.59765625" style="771" customWidth="1"/>
    <col min="9221" max="9221" width="7" style="771" customWidth="1"/>
    <col min="9222" max="9222" width="8.796875" style="771"/>
    <col min="9223" max="9223" width="7.5" style="771" customWidth="1"/>
    <col min="9224" max="9224" width="8.796875" style="771"/>
    <col min="9225" max="9225" width="5" style="771" customWidth="1"/>
    <col min="9226" max="9229" width="8.796875" style="771"/>
    <col min="9230" max="9230" width="8.09765625" style="771" customWidth="1"/>
    <col min="9231" max="9231" width="8.5" style="771" customWidth="1"/>
    <col min="9232" max="9232" width="8.796875" style="771"/>
    <col min="9233" max="9233" width="9" style="771" customWidth="1"/>
    <col min="9234" max="9234" width="8.5" style="771" customWidth="1"/>
    <col min="9235" max="9236" width="8.796875" style="771"/>
    <col min="9237" max="9238" width="12.59765625" style="771" customWidth="1"/>
    <col min="9239" max="9242" width="9.59765625" style="771" customWidth="1"/>
    <col min="9243" max="9243" width="17.59765625" style="771" customWidth="1"/>
    <col min="9244" max="9244" width="11.69921875" style="771" customWidth="1"/>
    <col min="9245" max="9473" width="8.796875" style="771"/>
    <col min="9474" max="9474" width="6" style="771" customWidth="1"/>
    <col min="9475" max="9476" width="6.59765625" style="771" customWidth="1"/>
    <col min="9477" max="9477" width="7" style="771" customWidth="1"/>
    <col min="9478" max="9478" width="8.796875" style="771"/>
    <col min="9479" max="9479" width="7.5" style="771" customWidth="1"/>
    <col min="9480" max="9480" width="8.796875" style="771"/>
    <col min="9481" max="9481" width="5" style="771" customWidth="1"/>
    <col min="9482" max="9485" width="8.796875" style="771"/>
    <col min="9486" max="9486" width="8.09765625" style="771" customWidth="1"/>
    <col min="9487" max="9487" width="8.5" style="771" customWidth="1"/>
    <col min="9488" max="9488" width="8.796875" style="771"/>
    <col min="9489" max="9489" width="9" style="771" customWidth="1"/>
    <col min="9490" max="9490" width="8.5" style="771" customWidth="1"/>
    <col min="9491" max="9492" width="8.796875" style="771"/>
    <col min="9493" max="9494" width="12.59765625" style="771" customWidth="1"/>
    <col min="9495" max="9498" width="9.59765625" style="771" customWidth="1"/>
    <col min="9499" max="9499" width="17.59765625" style="771" customWidth="1"/>
    <col min="9500" max="9500" width="11.69921875" style="771" customWidth="1"/>
    <col min="9501" max="9729" width="8.796875" style="771"/>
    <col min="9730" max="9730" width="6" style="771" customWidth="1"/>
    <col min="9731" max="9732" width="6.59765625" style="771" customWidth="1"/>
    <col min="9733" max="9733" width="7" style="771" customWidth="1"/>
    <col min="9734" max="9734" width="8.796875" style="771"/>
    <col min="9735" max="9735" width="7.5" style="771" customWidth="1"/>
    <col min="9736" max="9736" width="8.796875" style="771"/>
    <col min="9737" max="9737" width="5" style="771" customWidth="1"/>
    <col min="9738" max="9741" width="8.796875" style="771"/>
    <col min="9742" max="9742" width="8.09765625" style="771" customWidth="1"/>
    <col min="9743" max="9743" width="8.5" style="771" customWidth="1"/>
    <col min="9744" max="9744" width="8.796875" style="771"/>
    <col min="9745" max="9745" width="9" style="771" customWidth="1"/>
    <col min="9746" max="9746" width="8.5" style="771" customWidth="1"/>
    <col min="9747" max="9748" width="8.796875" style="771"/>
    <col min="9749" max="9750" width="12.59765625" style="771" customWidth="1"/>
    <col min="9751" max="9754" width="9.59765625" style="771" customWidth="1"/>
    <col min="9755" max="9755" width="17.59765625" style="771" customWidth="1"/>
    <col min="9756" max="9756" width="11.69921875" style="771" customWidth="1"/>
    <col min="9757" max="9985" width="8.796875" style="771"/>
    <col min="9986" max="9986" width="6" style="771" customWidth="1"/>
    <col min="9987" max="9988" width="6.59765625" style="771" customWidth="1"/>
    <col min="9989" max="9989" width="7" style="771" customWidth="1"/>
    <col min="9990" max="9990" width="8.796875" style="771"/>
    <col min="9991" max="9991" width="7.5" style="771" customWidth="1"/>
    <col min="9992" max="9992" width="8.796875" style="771"/>
    <col min="9993" max="9993" width="5" style="771" customWidth="1"/>
    <col min="9994" max="9997" width="8.796875" style="771"/>
    <col min="9998" max="9998" width="8.09765625" style="771" customWidth="1"/>
    <col min="9999" max="9999" width="8.5" style="771" customWidth="1"/>
    <col min="10000" max="10000" width="8.796875" style="771"/>
    <col min="10001" max="10001" width="9" style="771" customWidth="1"/>
    <col min="10002" max="10002" width="8.5" style="771" customWidth="1"/>
    <col min="10003" max="10004" width="8.796875" style="771"/>
    <col min="10005" max="10006" width="12.59765625" style="771" customWidth="1"/>
    <col min="10007" max="10010" width="9.59765625" style="771" customWidth="1"/>
    <col min="10011" max="10011" width="17.59765625" style="771" customWidth="1"/>
    <col min="10012" max="10012" width="11.69921875" style="771" customWidth="1"/>
    <col min="10013" max="10241" width="8.796875" style="771"/>
    <col min="10242" max="10242" width="6" style="771" customWidth="1"/>
    <col min="10243" max="10244" width="6.59765625" style="771" customWidth="1"/>
    <col min="10245" max="10245" width="7" style="771" customWidth="1"/>
    <col min="10246" max="10246" width="8.796875" style="771"/>
    <col min="10247" max="10247" width="7.5" style="771" customWidth="1"/>
    <col min="10248" max="10248" width="8.796875" style="771"/>
    <col min="10249" max="10249" width="5" style="771" customWidth="1"/>
    <col min="10250" max="10253" width="8.796875" style="771"/>
    <col min="10254" max="10254" width="8.09765625" style="771" customWidth="1"/>
    <col min="10255" max="10255" width="8.5" style="771" customWidth="1"/>
    <col min="10256" max="10256" width="8.796875" style="771"/>
    <col min="10257" max="10257" width="9" style="771" customWidth="1"/>
    <col min="10258" max="10258" width="8.5" style="771" customWidth="1"/>
    <col min="10259" max="10260" width="8.796875" style="771"/>
    <col min="10261" max="10262" width="12.59765625" style="771" customWidth="1"/>
    <col min="10263" max="10266" width="9.59765625" style="771" customWidth="1"/>
    <col min="10267" max="10267" width="17.59765625" style="771" customWidth="1"/>
    <col min="10268" max="10268" width="11.69921875" style="771" customWidth="1"/>
    <col min="10269" max="10497" width="8.796875" style="771"/>
    <col min="10498" max="10498" width="6" style="771" customWidth="1"/>
    <col min="10499" max="10500" width="6.59765625" style="771" customWidth="1"/>
    <col min="10501" max="10501" width="7" style="771" customWidth="1"/>
    <col min="10502" max="10502" width="8.796875" style="771"/>
    <col min="10503" max="10503" width="7.5" style="771" customWidth="1"/>
    <col min="10504" max="10504" width="8.796875" style="771"/>
    <col min="10505" max="10505" width="5" style="771" customWidth="1"/>
    <col min="10506" max="10509" width="8.796875" style="771"/>
    <col min="10510" max="10510" width="8.09765625" style="771" customWidth="1"/>
    <col min="10511" max="10511" width="8.5" style="771" customWidth="1"/>
    <col min="10512" max="10512" width="8.796875" style="771"/>
    <col min="10513" max="10513" width="9" style="771" customWidth="1"/>
    <col min="10514" max="10514" width="8.5" style="771" customWidth="1"/>
    <col min="10515" max="10516" width="8.796875" style="771"/>
    <col min="10517" max="10518" width="12.59765625" style="771" customWidth="1"/>
    <col min="10519" max="10522" width="9.59765625" style="771" customWidth="1"/>
    <col min="10523" max="10523" width="17.59765625" style="771" customWidth="1"/>
    <col min="10524" max="10524" width="11.69921875" style="771" customWidth="1"/>
    <col min="10525" max="10753" width="8.796875" style="771"/>
    <col min="10754" max="10754" width="6" style="771" customWidth="1"/>
    <col min="10755" max="10756" width="6.59765625" style="771" customWidth="1"/>
    <col min="10757" max="10757" width="7" style="771" customWidth="1"/>
    <col min="10758" max="10758" width="8.796875" style="771"/>
    <col min="10759" max="10759" width="7.5" style="771" customWidth="1"/>
    <col min="10760" max="10760" width="8.796875" style="771"/>
    <col min="10761" max="10761" width="5" style="771" customWidth="1"/>
    <col min="10762" max="10765" width="8.796875" style="771"/>
    <col min="10766" max="10766" width="8.09765625" style="771" customWidth="1"/>
    <col min="10767" max="10767" width="8.5" style="771" customWidth="1"/>
    <col min="10768" max="10768" width="8.796875" style="771"/>
    <col min="10769" max="10769" width="9" style="771" customWidth="1"/>
    <col min="10770" max="10770" width="8.5" style="771" customWidth="1"/>
    <col min="10771" max="10772" width="8.796875" style="771"/>
    <col min="10773" max="10774" width="12.59765625" style="771" customWidth="1"/>
    <col min="10775" max="10778" width="9.59765625" style="771" customWidth="1"/>
    <col min="10779" max="10779" width="17.59765625" style="771" customWidth="1"/>
    <col min="10780" max="10780" width="11.69921875" style="771" customWidth="1"/>
    <col min="10781" max="11009" width="8.796875" style="771"/>
    <col min="11010" max="11010" width="6" style="771" customWidth="1"/>
    <col min="11011" max="11012" width="6.59765625" style="771" customWidth="1"/>
    <col min="11013" max="11013" width="7" style="771" customWidth="1"/>
    <col min="11014" max="11014" width="8.796875" style="771"/>
    <col min="11015" max="11015" width="7.5" style="771" customWidth="1"/>
    <col min="11016" max="11016" width="8.796875" style="771"/>
    <col min="11017" max="11017" width="5" style="771" customWidth="1"/>
    <col min="11018" max="11021" width="8.796875" style="771"/>
    <col min="11022" max="11022" width="8.09765625" style="771" customWidth="1"/>
    <col min="11023" max="11023" width="8.5" style="771" customWidth="1"/>
    <col min="11024" max="11024" width="8.796875" style="771"/>
    <col min="11025" max="11025" width="9" style="771" customWidth="1"/>
    <col min="11026" max="11026" width="8.5" style="771" customWidth="1"/>
    <col min="11027" max="11028" width="8.796875" style="771"/>
    <col min="11029" max="11030" width="12.59765625" style="771" customWidth="1"/>
    <col min="11031" max="11034" width="9.59765625" style="771" customWidth="1"/>
    <col min="11035" max="11035" width="17.59765625" style="771" customWidth="1"/>
    <col min="11036" max="11036" width="11.69921875" style="771" customWidth="1"/>
    <col min="11037" max="11265" width="8.796875" style="771"/>
    <col min="11266" max="11266" width="6" style="771" customWidth="1"/>
    <col min="11267" max="11268" width="6.59765625" style="771" customWidth="1"/>
    <col min="11269" max="11269" width="7" style="771" customWidth="1"/>
    <col min="11270" max="11270" width="8.796875" style="771"/>
    <col min="11271" max="11271" width="7.5" style="771" customWidth="1"/>
    <col min="11272" max="11272" width="8.796875" style="771"/>
    <col min="11273" max="11273" width="5" style="771" customWidth="1"/>
    <col min="11274" max="11277" width="8.796875" style="771"/>
    <col min="11278" max="11278" width="8.09765625" style="771" customWidth="1"/>
    <col min="11279" max="11279" width="8.5" style="771" customWidth="1"/>
    <col min="11280" max="11280" width="8.796875" style="771"/>
    <col min="11281" max="11281" width="9" style="771" customWidth="1"/>
    <col min="11282" max="11282" width="8.5" style="771" customWidth="1"/>
    <col min="11283" max="11284" width="8.796875" style="771"/>
    <col min="11285" max="11286" width="12.59765625" style="771" customWidth="1"/>
    <col min="11287" max="11290" width="9.59765625" style="771" customWidth="1"/>
    <col min="11291" max="11291" width="17.59765625" style="771" customWidth="1"/>
    <col min="11292" max="11292" width="11.69921875" style="771" customWidth="1"/>
    <col min="11293" max="11521" width="8.796875" style="771"/>
    <col min="11522" max="11522" width="6" style="771" customWidth="1"/>
    <col min="11523" max="11524" width="6.59765625" style="771" customWidth="1"/>
    <col min="11525" max="11525" width="7" style="771" customWidth="1"/>
    <col min="11526" max="11526" width="8.796875" style="771"/>
    <col min="11527" max="11527" width="7.5" style="771" customWidth="1"/>
    <col min="11528" max="11528" width="8.796875" style="771"/>
    <col min="11529" max="11529" width="5" style="771" customWidth="1"/>
    <col min="11530" max="11533" width="8.796875" style="771"/>
    <col min="11534" max="11534" width="8.09765625" style="771" customWidth="1"/>
    <col min="11535" max="11535" width="8.5" style="771" customWidth="1"/>
    <col min="11536" max="11536" width="8.796875" style="771"/>
    <col min="11537" max="11537" width="9" style="771" customWidth="1"/>
    <col min="11538" max="11538" width="8.5" style="771" customWidth="1"/>
    <col min="11539" max="11540" width="8.796875" style="771"/>
    <col min="11541" max="11542" width="12.59765625" style="771" customWidth="1"/>
    <col min="11543" max="11546" width="9.59765625" style="771" customWidth="1"/>
    <col min="11547" max="11547" width="17.59765625" style="771" customWidth="1"/>
    <col min="11548" max="11548" width="11.69921875" style="771" customWidth="1"/>
    <col min="11549" max="11777" width="8.796875" style="771"/>
    <col min="11778" max="11778" width="6" style="771" customWidth="1"/>
    <col min="11779" max="11780" width="6.59765625" style="771" customWidth="1"/>
    <col min="11781" max="11781" width="7" style="771" customWidth="1"/>
    <col min="11782" max="11782" width="8.796875" style="771"/>
    <col min="11783" max="11783" width="7.5" style="771" customWidth="1"/>
    <col min="11784" max="11784" width="8.796875" style="771"/>
    <col min="11785" max="11785" width="5" style="771" customWidth="1"/>
    <col min="11786" max="11789" width="8.796875" style="771"/>
    <col min="11790" max="11790" width="8.09765625" style="771" customWidth="1"/>
    <col min="11791" max="11791" width="8.5" style="771" customWidth="1"/>
    <col min="11792" max="11792" width="8.796875" style="771"/>
    <col min="11793" max="11793" width="9" style="771" customWidth="1"/>
    <col min="11794" max="11794" width="8.5" style="771" customWidth="1"/>
    <col min="11795" max="11796" width="8.796875" style="771"/>
    <col min="11797" max="11798" width="12.59765625" style="771" customWidth="1"/>
    <col min="11799" max="11802" width="9.59765625" style="771" customWidth="1"/>
    <col min="11803" max="11803" width="17.59765625" style="771" customWidth="1"/>
    <col min="11804" max="11804" width="11.69921875" style="771" customWidth="1"/>
    <col min="11805" max="12033" width="8.796875" style="771"/>
    <col min="12034" max="12034" width="6" style="771" customWidth="1"/>
    <col min="12035" max="12036" width="6.59765625" style="771" customWidth="1"/>
    <col min="12037" max="12037" width="7" style="771" customWidth="1"/>
    <col min="12038" max="12038" width="8.796875" style="771"/>
    <col min="12039" max="12039" width="7.5" style="771" customWidth="1"/>
    <col min="12040" max="12040" width="8.796875" style="771"/>
    <col min="12041" max="12041" width="5" style="771" customWidth="1"/>
    <col min="12042" max="12045" width="8.796875" style="771"/>
    <col min="12046" max="12046" width="8.09765625" style="771" customWidth="1"/>
    <col min="12047" max="12047" width="8.5" style="771" customWidth="1"/>
    <col min="12048" max="12048" width="8.796875" style="771"/>
    <col min="12049" max="12049" width="9" style="771" customWidth="1"/>
    <col min="12050" max="12050" width="8.5" style="771" customWidth="1"/>
    <col min="12051" max="12052" width="8.796875" style="771"/>
    <col min="12053" max="12054" width="12.59765625" style="771" customWidth="1"/>
    <col min="12055" max="12058" width="9.59765625" style="771" customWidth="1"/>
    <col min="12059" max="12059" width="17.59765625" style="771" customWidth="1"/>
    <col min="12060" max="12060" width="11.69921875" style="771" customWidth="1"/>
    <col min="12061" max="12289" width="8.796875" style="771"/>
    <col min="12290" max="12290" width="6" style="771" customWidth="1"/>
    <col min="12291" max="12292" width="6.59765625" style="771" customWidth="1"/>
    <col min="12293" max="12293" width="7" style="771" customWidth="1"/>
    <col min="12294" max="12294" width="8.796875" style="771"/>
    <col min="12295" max="12295" width="7.5" style="771" customWidth="1"/>
    <col min="12296" max="12296" width="8.796875" style="771"/>
    <col min="12297" max="12297" width="5" style="771" customWidth="1"/>
    <col min="12298" max="12301" width="8.796875" style="771"/>
    <col min="12302" max="12302" width="8.09765625" style="771" customWidth="1"/>
    <col min="12303" max="12303" width="8.5" style="771" customWidth="1"/>
    <col min="12304" max="12304" width="8.796875" style="771"/>
    <col min="12305" max="12305" width="9" style="771" customWidth="1"/>
    <col min="12306" max="12306" width="8.5" style="771" customWidth="1"/>
    <col min="12307" max="12308" width="8.796875" style="771"/>
    <col min="12309" max="12310" width="12.59765625" style="771" customWidth="1"/>
    <col min="12311" max="12314" width="9.59765625" style="771" customWidth="1"/>
    <col min="12315" max="12315" width="17.59765625" style="771" customWidth="1"/>
    <col min="12316" max="12316" width="11.69921875" style="771" customWidth="1"/>
    <col min="12317" max="12545" width="8.796875" style="771"/>
    <col min="12546" max="12546" width="6" style="771" customWidth="1"/>
    <col min="12547" max="12548" width="6.59765625" style="771" customWidth="1"/>
    <col min="12549" max="12549" width="7" style="771" customWidth="1"/>
    <col min="12550" max="12550" width="8.796875" style="771"/>
    <col min="12551" max="12551" width="7.5" style="771" customWidth="1"/>
    <col min="12552" max="12552" width="8.796875" style="771"/>
    <col min="12553" max="12553" width="5" style="771" customWidth="1"/>
    <col min="12554" max="12557" width="8.796875" style="771"/>
    <col min="12558" max="12558" width="8.09765625" style="771" customWidth="1"/>
    <col min="12559" max="12559" width="8.5" style="771" customWidth="1"/>
    <col min="12560" max="12560" width="8.796875" style="771"/>
    <col min="12561" max="12561" width="9" style="771" customWidth="1"/>
    <col min="12562" max="12562" width="8.5" style="771" customWidth="1"/>
    <col min="12563" max="12564" width="8.796875" style="771"/>
    <col min="12565" max="12566" width="12.59765625" style="771" customWidth="1"/>
    <col min="12567" max="12570" width="9.59765625" style="771" customWidth="1"/>
    <col min="12571" max="12571" width="17.59765625" style="771" customWidth="1"/>
    <col min="12572" max="12572" width="11.69921875" style="771" customWidth="1"/>
    <col min="12573" max="12801" width="8.796875" style="771"/>
    <col min="12802" max="12802" width="6" style="771" customWidth="1"/>
    <col min="12803" max="12804" width="6.59765625" style="771" customWidth="1"/>
    <col min="12805" max="12805" width="7" style="771" customWidth="1"/>
    <col min="12806" max="12806" width="8.796875" style="771"/>
    <col min="12807" max="12807" width="7.5" style="771" customWidth="1"/>
    <col min="12808" max="12808" width="8.796875" style="771"/>
    <col min="12809" max="12809" width="5" style="771" customWidth="1"/>
    <col min="12810" max="12813" width="8.796875" style="771"/>
    <col min="12814" max="12814" width="8.09765625" style="771" customWidth="1"/>
    <col min="12815" max="12815" width="8.5" style="771" customWidth="1"/>
    <col min="12816" max="12816" width="8.796875" style="771"/>
    <col min="12817" max="12817" width="9" style="771" customWidth="1"/>
    <col min="12818" max="12818" width="8.5" style="771" customWidth="1"/>
    <col min="12819" max="12820" width="8.796875" style="771"/>
    <col min="12821" max="12822" width="12.59765625" style="771" customWidth="1"/>
    <col min="12823" max="12826" width="9.59765625" style="771" customWidth="1"/>
    <col min="12827" max="12827" width="17.59765625" style="771" customWidth="1"/>
    <col min="12828" max="12828" width="11.69921875" style="771" customWidth="1"/>
    <col min="12829" max="13057" width="8.796875" style="771"/>
    <col min="13058" max="13058" width="6" style="771" customWidth="1"/>
    <col min="13059" max="13060" width="6.59765625" style="771" customWidth="1"/>
    <col min="13061" max="13061" width="7" style="771" customWidth="1"/>
    <col min="13062" max="13062" width="8.796875" style="771"/>
    <col min="13063" max="13063" width="7.5" style="771" customWidth="1"/>
    <col min="13064" max="13064" width="8.796875" style="771"/>
    <col min="13065" max="13065" width="5" style="771" customWidth="1"/>
    <col min="13066" max="13069" width="8.796875" style="771"/>
    <col min="13070" max="13070" width="8.09765625" style="771" customWidth="1"/>
    <col min="13071" max="13071" width="8.5" style="771" customWidth="1"/>
    <col min="13072" max="13072" width="8.796875" style="771"/>
    <col min="13073" max="13073" width="9" style="771" customWidth="1"/>
    <col min="13074" max="13074" width="8.5" style="771" customWidth="1"/>
    <col min="13075" max="13076" width="8.796875" style="771"/>
    <col min="13077" max="13078" width="12.59765625" style="771" customWidth="1"/>
    <col min="13079" max="13082" width="9.59765625" style="771" customWidth="1"/>
    <col min="13083" max="13083" width="17.59765625" style="771" customWidth="1"/>
    <col min="13084" max="13084" width="11.69921875" style="771" customWidth="1"/>
    <col min="13085" max="13313" width="8.796875" style="771"/>
    <col min="13314" max="13314" width="6" style="771" customWidth="1"/>
    <col min="13315" max="13316" width="6.59765625" style="771" customWidth="1"/>
    <col min="13317" max="13317" width="7" style="771" customWidth="1"/>
    <col min="13318" max="13318" width="8.796875" style="771"/>
    <col min="13319" max="13319" width="7.5" style="771" customWidth="1"/>
    <col min="13320" max="13320" width="8.796875" style="771"/>
    <col min="13321" max="13321" width="5" style="771" customWidth="1"/>
    <col min="13322" max="13325" width="8.796875" style="771"/>
    <col min="13326" max="13326" width="8.09765625" style="771" customWidth="1"/>
    <col min="13327" max="13327" width="8.5" style="771" customWidth="1"/>
    <col min="13328" max="13328" width="8.796875" style="771"/>
    <col min="13329" max="13329" width="9" style="771" customWidth="1"/>
    <col min="13330" max="13330" width="8.5" style="771" customWidth="1"/>
    <col min="13331" max="13332" width="8.796875" style="771"/>
    <col min="13333" max="13334" width="12.59765625" style="771" customWidth="1"/>
    <col min="13335" max="13338" width="9.59765625" style="771" customWidth="1"/>
    <col min="13339" max="13339" width="17.59765625" style="771" customWidth="1"/>
    <col min="13340" max="13340" width="11.69921875" style="771" customWidth="1"/>
    <col min="13341" max="13569" width="8.796875" style="771"/>
    <col min="13570" max="13570" width="6" style="771" customWidth="1"/>
    <col min="13571" max="13572" width="6.59765625" style="771" customWidth="1"/>
    <col min="13573" max="13573" width="7" style="771" customWidth="1"/>
    <col min="13574" max="13574" width="8.796875" style="771"/>
    <col min="13575" max="13575" width="7.5" style="771" customWidth="1"/>
    <col min="13576" max="13576" width="8.796875" style="771"/>
    <col min="13577" max="13577" width="5" style="771" customWidth="1"/>
    <col min="13578" max="13581" width="8.796875" style="771"/>
    <col min="13582" max="13582" width="8.09765625" style="771" customWidth="1"/>
    <col min="13583" max="13583" width="8.5" style="771" customWidth="1"/>
    <col min="13584" max="13584" width="8.796875" style="771"/>
    <col min="13585" max="13585" width="9" style="771" customWidth="1"/>
    <col min="13586" max="13586" width="8.5" style="771" customWidth="1"/>
    <col min="13587" max="13588" width="8.796875" style="771"/>
    <col min="13589" max="13590" width="12.59765625" style="771" customWidth="1"/>
    <col min="13591" max="13594" width="9.59765625" style="771" customWidth="1"/>
    <col min="13595" max="13595" width="17.59765625" style="771" customWidth="1"/>
    <col min="13596" max="13596" width="11.69921875" style="771" customWidth="1"/>
    <col min="13597" max="13825" width="8.796875" style="771"/>
    <col min="13826" max="13826" width="6" style="771" customWidth="1"/>
    <col min="13827" max="13828" width="6.59765625" style="771" customWidth="1"/>
    <col min="13829" max="13829" width="7" style="771" customWidth="1"/>
    <col min="13830" max="13830" width="8.796875" style="771"/>
    <col min="13831" max="13831" width="7.5" style="771" customWidth="1"/>
    <col min="13832" max="13832" width="8.796875" style="771"/>
    <col min="13833" max="13833" width="5" style="771" customWidth="1"/>
    <col min="13834" max="13837" width="8.796875" style="771"/>
    <col min="13838" max="13838" width="8.09765625" style="771" customWidth="1"/>
    <col min="13839" max="13839" width="8.5" style="771" customWidth="1"/>
    <col min="13840" max="13840" width="8.796875" style="771"/>
    <col min="13841" max="13841" width="9" style="771" customWidth="1"/>
    <col min="13842" max="13842" width="8.5" style="771" customWidth="1"/>
    <col min="13843" max="13844" width="8.796875" style="771"/>
    <col min="13845" max="13846" width="12.59765625" style="771" customWidth="1"/>
    <col min="13847" max="13850" width="9.59765625" style="771" customWidth="1"/>
    <col min="13851" max="13851" width="17.59765625" style="771" customWidth="1"/>
    <col min="13852" max="13852" width="11.69921875" style="771" customWidth="1"/>
    <col min="13853" max="14081" width="8.796875" style="771"/>
    <col min="14082" max="14082" width="6" style="771" customWidth="1"/>
    <col min="14083" max="14084" width="6.59765625" style="771" customWidth="1"/>
    <col min="14085" max="14085" width="7" style="771" customWidth="1"/>
    <col min="14086" max="14086" width="8.796875" style="771"/>
    <col min="14087" max="14087" width="7.5" style="771" customWidth="1"/>
    <col min="14088" max="14088" width="8.796875" style="771"/>
    <col min="14089" max="14089" width="5" style="771" customWidth="1"/>
    <col min="14090" max="14093" width="8.796875" style="771"/>
    <col min="14094" max="14094" width="8.09765625" style="771" customWidth="1"/>
    <col min="14095" max="14095" width="8.5" style="771" customWidth="1"/>
    <col min="14096" max="14096" width="8.796875" style="771"/>
    <col min="14097" max="14097" width="9" style="771" customWidth="1"/>
    <col min="14098" max="14098" width="8.5" style="771" customWidth="1"/>
    <col min="14099" max="14100" width="8.796875" style="771"/>
    <col min="14101" max="14102" width="12.59765625" style="771" customWidth="1"/>
    <col min="14103" max="14106" width="9.59765625" style="771" customWidth="1"/>
    <col min="14107" max="14107" width="17.59765625" style="771" customWidth="1"/>
    <col min="14108" max="14108" width="11.69921875" style="771" customWidth="1"/>
    <col min="14109" max="14337" width="8.796875" style="771"/>
    <col min="14338" max="14338" width="6" style="771" customWidth="1"/>
    <col min="14339" max="14340" width="6.59765625" style="771" customWidth="1"/>
    <col min="14341" max="14341" width="7" style="771" customWidth="1"/>
    <col min="14342" max="14342" width="8.796875" style="771"/>
    <col min="14343" max="14343" width="7.5" style="771" customWidth="1"/>
    <col min="14344" max="14344" width="8.796875" style="771"/>
    <col min="14345" max="14345" width="5" style="771" customWidth="1"/>
    <col min="14346" max="14349" width="8.796875" style="771"/>
    <col min="14350" max="14350" width="8.09765625" style="771" customWidth="1"/>
    <col min="14351" max="14351" width="8.5" style="771" customWidth="1"/>
    <col min="14352" max="14352" width="8.796875" style="771"/>
    <col min="14353" max="14353" width="9" style="771" customWidth="1"/>
    <col min="14354" max="14354" width="8.5" style="771" customWidth="1"/>
    <col min="14355" max="14356" width="8.796875" style="771"/>
    <col min="14357" max="14358" width="12.59765625" style="771" customWidth="1"/>
    <col min="14359" max="14362" width="9.59765625" style="771" customWidth="1"/>
    <col min="14363" max="14363" width="17.59765625" style="771" customWidth="1"/>
    <col min="14364" max="14364" width="11.69921875" style="771" customWidth="1"/>
    <col min="14365" max="14593" width="8.796875" style="771"/>
    <col min="14594" max="14594" width="6" style="771" customWidth="1"/>
    <col min="14595" max="14596" width="6.59765625" style="771" customWidth="1"/>
    <col min="14597" max="14597" width="7" style="771" customWidth="1"/>
    <col min="14598" max="14598" width="8.796875" style="771"/>
    <col min="14599" max="14599" width="7.5" style="771" customWidth="1"/>
    <col min="14600" max="14600" width="8.796875" style="771"/>
    <col min="14601" max="14601" width="5" style="771" customWidth="1"/>
    <col min="14602" max="14605" width="8.796875" style="771"/>
    <col min="14606" max="14606" width="8.09765625" style="771" customWidth="1"/>
    <col min="14607" max="14607" width="8.5" style="771" customWidth="1"/>
    <col min="14608" max="14608" width="8.796875" style="771"/>
    <col min="14609" max="14609" width="9" style="771" customWidth="1"/>
    <col min="14610" max="14610" width="8.5" style="771" customWidth="1"/>
    <col min="14611" max="14612" width="8.796875" style="771"/>
    <col min="14613" max="14614" width="12.59765625" style="771" customWidth="1"/>
    <col min="14615" max="14618" width="9.59765625" style="771" customWidth="1"/>
    <col min="14619" max="14619" width="17.59765625" style="771" customWidth="1"/>
    <col min="14620" max="14620" width="11.69921875" style="771" customWidth="1"/>
    <col min="14621" max="14849" width="8.796875" style="771"/>
    <col min="14850" max="14850" width="6" style="771" customWidth="1"/>
    <col min="14851" max="14852" width="6.59765625" style="771" customWidth="1"/>
    <col min="14853" max="14853" width="7" style="771" customWidth="1"/>
    <col min="14854" max="14854" width="8.796875" style="771"/>
    <col min="14855" max="14855" width="7.5" style="771" customWidth="1"/>
    <col min="14856" max="14856" width="8.796875" style="771"/>
    <col min="14857" max="14857" width="5" style="771" customWidth="1"/>
    <col min="14858" max="14861" width="8.796875" style="771"/>
    <col min="14862" max="14862" width="8.09765625" style="771" customWidth="1"/>
    <col min="14863" max="14863" width="8.5" style="771" customWidth="1"/>
    <col min="14864" max="14864" width="8.796875" style="771"/>
    <col min="14865" max="14865" width="9" style="771" customWidth="1"/>
    <col min="14866" max="14866" width="8.5" style="771" customWidth="1"/>
    <col min="14867" max="14868" width="8.796875" style="771"/>
    <col min="14869" max="14870" width="12.59765625" style="771" customWidth="1"/>
    <col min="14871" max="14874" width="9.59765625" style="771" customWidth="1"/>
    <col min="14875" max="14875" width="17.59765625" style="771" customWidth="1"/>
    <col min="14876" max="14876" width="11.69921875" style="771" customWidth="1"/>
    <col min="14877" max="15105" width="8.796875" style="771"/>
    <col min="15106" max="15106" width="6" style="771" customWidth="1"/>
    <col min="15107" max="15108" width="6.59765625" style="771" customWidth="1"/>
    <col min="15109" max="15109" width="7" style="771" customWidth="1"/>
    <col min="15110" max="15110" width="8.796875" style="771"/>
    <col min="15111" max="15111" width="7.5" style="771" customWidth="1"/>
    <col min="15112" max="15112" width="8.796875" style="771"/>
    <col min="15113" max="15113" width="5" style="771" customWidth="1"/>
    <col min="15114" max="15117" width="8.796875" style="771"/>
    <col min="15118" max="15118" width="8.09765625" style="771" customWidth="1"/>
    <col min="15119" max="15119" width="8.5" style="771" customWidth="1"/>
    <col min="15120" max="15120" width="8.796875" style="771"/>
    <col min="15121" max="15121" width="9" style="771" customWidth="1"/>
    <col min="15122" max="15122" width="8.5" style="771" customWidth="1"/>
    <col min="15123" max="15124" width="8.796875" style="771"/>
    <col min="15125" max="15126" width="12.59765625" style="771" customWidth="1"/>
    <col min="15127" max="15130" width="9.59765625" style="771" customWidth="1"/>
    <col min="15131" max="15131" width="17.59765625" style="771" customWidth="1"/>
    <col min="15132" max="15132" width="11.69921875" style="771" customWidth="1"/>
    <col min="15133" max="15361" width="8.796875" style="771"/>
    <col min="15362" max="15362" width="6" style="771" customWidth="1"/>
    <col min="15363" max="15364" width="6.59765625" style="771" customWidth="1"/>
    <col min="15365" max="15365" width="7" style="771" customWidth="1"/>
    <col min="15366" max="15366" width="8.796875" style="771"/>
    <col min="15367" max="15367" width="7.5" style="771" customWidth="1"/>
    <col min="15368" max="15368" width="8.796875" style="771"/>
    <col min="15369" max="15369" width="5" style="771" customWidth="1"/>
    <col min="15370" max="15373" width="8.796875" style="771"/>
    <col min="15374" max="15374" width="8.09765625" style="771" customWidth="1"/>
    <col min="15375" max="15375" width="8.5" style="771" customWidth="1"/>
    <col min="15376" max="15376" width="8.796875" style="771"/>
    <col min="15377" max="15377" width="9" style="771" customWidth="1"/>
    <col min="15378" max="15378" width="8.5" style="771" customWidth="1"/>
    <col min="15379" max="15380" width="8.796875" style="771"/>
    <col min="15381" max="15382" width="12.59765625" style="771" customWidth="1"/>
    <col min="15383" max="15386" width="9.59765625" style="771" customWidth="1"/>
    <col min="15387" max="15387" width="17.59765625" style="771" customWidth="1"/>
    <col min="15388" max="15388" width="11.69921875" style="771" customWidth="1"/>
    <col min="15389" max="15617" width="8.796875" style="771"/>
    <col min="15618" max="15618" width="6" style="771" customWidth="1"/>
    <col min="15619" max="15620" width="6.59765625" style="771" customWidth="1"/>
    <col min="15621" max="15621" width="7" style="771" customWidth="1"/>
    <col min="15622" max="15622" width="8.796875" style="771"/>
    <col min="15623" max="15623" width="7.5" style="771" customWidth="1"/>
    <col min="15624" max="15624" width="8.796875" style="771"/>
    <col min="15625" max="15625" width="5" style="771" customWidth="1"/>
    <col min="15626" max="15629" width="8.796875" style="771"/>
    <col min="15630" max="15630" width="8.09765625" style="771" customWidth="1"/>
    <col min="15631" max="15631" width="8.5" style="771" customWidth="1"/>
    <col min="15632" max="15632" width="8.796875" style="771"/>
    <col min="15633" max="15633" width="9" style="771" customWidth="1"/>
    <col min="15634" max="15634" width="8.5" style="771" customWidth="1"/>
    <col min="15635" max="15636" width="8.796875" style="771"/>
    <col min="15637" max="15638" width="12.59765625" style="771" customWidth="1"/>
    <col min="15639" max="15642" width="9.59765625" style="771" customWidth="1"/>
    <col min="15643" max="15643" width="17.59765625" style="771" customWidth="1"/>
    <col min="15644" max="15644" width="11.69921875" style="771" customWidth="1"/>
    <col min="15645" max="15873" width="8.796875" style="771"/>
    <col min="15874" max="15874" width="6" style="771" customWidth="1"/>
    <col min="15875" max="15876" width="6.59765625" style="771" customWidth="1"/>
    <col min="15877" max="15877" width="7" style="771" customWidth="1"/>
    <col min="15878" max="15878" width="8.796875" style="771"/>
    <col min="15879" max="15879" width="7.5" style="771" customWidth="1"/>
    <col min="15880" max="15880" width="8.796875" style="771"/>
    <col min="15881" max="15881" width="5" style="771" customWidth="1"/>
    <col min="15882" max="15885" width="8.796875" style="771"/>
    <col min="15886" max="15886" width="8.09765625" style="771" customWidth="1"/>
    <col min="15887" max="15887" width="8.5" style="771" customWidth="1"/>
    <col min="15888" max="15888" width="8.796875" style="771"/>
    <col min="15889" max="15889" width="9" style="771" customWidth="1"/>
    <col min="15890" max="15890" width="8.5" style="771" customWidth="1"/>
    <col min="15891" max="15892" width="8.796875" style="771"/>
    <col min="15893" max="15894" width="12.59765625" style="771" customWidth="1"/>
    <col min="15895" max="15898" width="9.59765625" style="771" customWidth="1"/>
    <col min="15899" max="15899" width="17.59765625" style="771" customWidth="1"/>
    <col min="15900" max="15900" width="11.69921875" style="771" customWidth="1"/>
    <col min="15901" max="16129" width="8.796875" style="771"/>
    <col min="16130" max="16130" width="6" style="771" customWidth="1"/>
    <col min="16131" max="16132" width="6.59765625" style="771" customWidth="1"/>
    <col min="16133" max="16133" width="7" style="771" customWidth="1"/>
    <col min="16134" max="16134" width="8.796875" style="771"/>
    <col min="16135" max="16135" width="7.5" style="771" customWidth="1"/>
    <col min="16136" max="16136" width="8.796875" style="771"/>
    <col min="16137" max="16137" width="5" style="771" customWidth="1"/>
    <col min="16138" max="16141" width="8.796875" style="771"/>
    <col min="16142" max="16142" width="8.09765625" style="771" customWidth="1"/>
    <col min="16143" max="16143" width="8.5" style="771" customWidth="1"/>
    <col min="16144" max="16144" width="8.796875" style="771"/>
    <col min="16145" max="16145" width="9" style="771" customWidth="1"/>
    <col min="16146" max="16146" width="8.5" style="771" customWidth="1"/>
    <col min="16147" max="16148" width="8.796875" style="771"/>
    <col min="16149" max="16150" width="12.59765625" style="771" customWidth="1"/>
    <col min="16151" max="16154" width="9.59765625" style="771" customWidth="1"/>
    <col min="16155" max="16155" width="17.59765625" style="771" customWidth="1"/>
    <col min="16156" max="16156" width="11.69921875" style="771" customWidth="1"/>
    <col min="16157" max="16384" width="8.796875" style="771"/>
  </cols>
  <sheetData>
    <row r="1" spans="1:59" ht="25" customHeight="1" thickBot="1">
      <c r="A1" s="1494" t="s">
        <v>960</v>
      </c>
      <c r="B1" s="1495"/>
      <c r="C1" s="1495"/>
      <c r="D1" s="1495"/>
      <c r="E1" s="1495"/>
      <c r="F1" s="1495"/>
      <c r="G1" s="1495"/>
      <c r="H1" s="1495"/>
      <c r="I1" s="1257"/>
      <c r="J1" s="1"/>
      <c r="U1" s="1496" t="s">
        <v>961</v>
      </c>
      <c r="V1" s="1497"/>
      <c r="W1" s="1497"/>
      <c r="X1" s="1497"/>
      <c r="Y1" s="1497"/>
      <c r="Z1" s="1497"/>
      <c r="AA1" s="1497"/>
      <c r="AB1" s="1498"/>
      <c r="AL1" s="1"/>
      <c r="AM1" s="1"/>
      <c r="AN1" s="1"/>
      <c r="AO1"/>
      <c r="AP1"/>
      <c r="AQ1"/>
      <c r="AR1"/>
      <c r="AS1"/>
      <c r="AT1"/>
      <c r="AU1"/>
      <c r="AV1"/>
      <c r="AW1"/>
      <c r="AX1" s="1258"/>
      <c r="AY1" s="1258"/>
      <c r="AZ1" s="1258"/>
      <c r="BA1" s="1258"/>
      <c r="BB1" s="1258"/>
      <c r="BC1" s="1258"/>
      <c r="BD1"/>
      <c r="BE1"/>
      <c r="BF1"/>
      <c r="BG1"/>
    </row>
    <row r="2" spans="1:59" ht="25" customHeight="1" thickBot="1">
      <c r="A2" s="1499" t="s">
        <v>962</v>
      </c>
      <c r="B2" s="1500"/>
      <c r="C2" s="1259"/>
      <c r="D2" s="1260" t="str">
        <f>'[1]N411-20'!C1</f>
        <v xml:space="preserve">NHÀ MÁY ĐIỆN GIÓ </v>
      </c>
      <c r="E2" s="1261"/>
      <c r="F2" s="1261"/>
      <c r="G2" s="1261"/>
      <c r="H2" s="1261"/>
      <c r="I2" s="1262"/>
      <c r="J2" s="1"/>
      <c r="K2" s="382" t="s">
        <v>963</v>
      </c>
      <c r="L2" s="1"/>
      <c r="M2" s="1" t="s">
        <v>964</v>
      </c>
      <c r="N2" s="1"/>
      <c r="O2" s="1"/>
      <c r="P2" s="1"/>
      <c r="Q2" s="1"/>
      <c r="U2" s="1501" t="s">
        <v>965</v>
      </c>
      <c r="V2" s="1502"/>
      <c r="W2" s="1501" t="s">
        <v>966</v>
      </c>
      <c r="X2" s="1502"/>
      <c r="Y2" s="1502"/>
      <c r="Z2" s="1502"/>
      <c r="AA2" s="1501" t="s">
        <v>967</v>
      </c>
      <c r="AB2" s="1503" t="s">
        <v>968</v>
      </c>
      <c r="AM2" s="1"/>
      <c r="AN2" s="1"/>
      <c r="AO2"/>
      <c r="AP2"/>
      <c r="AQ2"/>
      <c r="AR2"/>
      <c r="AS2"/>
      <c r="AT2"/>
      <c r="AU2"/>
      <c r="AV2"/>
      <c r="AW2"/>
      <c r="AX2" s="1263"/>
      <c r="AY2"/>
      <c r="AZ2"/>
      <c r="BA2"/>
      <c r="BB2" s="1264"/>
      <c r="BC2" s="1264"/>
      <c r="BD2"/>
      <c r="BE2"/>
      <c r="BF2"/>
      <c r="BG2"/>
    </row>
    <row r="3" spans="1:59" ht="25" customHeight="1" thickBot="1">
      <c r="A3" s="1265" t="s">
        <v>969</v>
      </c>
      <c r="B3" s="1266"/>
      <c r="C3" s="1267"/>
      <c r="D3" s="1268" t="s">
        <v>970</v>
      </c>
      <c r="E3" s="1269" t="str">
        <f>'[1]N411-20'!J3</f>
        <v>MB 2.6-4.6x5.2</v>
      </c>
      <c r="F3" s="1270"/>
      <c r="G3" s="1268" t="s">
        <v>971</v>
      </c>
      <c r="H3" s="1271" t="str">
        <f>'[1]N411-20'!C3</f>
        <v>D411-25</v>
      </c>
      <c r="I3" s="1272"/>
      <c r="J3" s="1"/>
      <c r="K3" s="122" t="s">
        <v>137</v>
      </c>
      <c r="L3" s="1273" t="s">
        <v>535</v>
      </c>
      <c r="M3" s="1274"/>
      <c r="N3" s="1274"/>
      <c r="O3" s="1274"/>
      <c r="P3" s="1275" t="s">
        <v>972</v>
      </c>
      <c r="Q3" s="1276" t="s">
        <v>973</v>
      </c>
      <c r="S3" s="1277" t="s">
        <v>974</v>
      </c>
      <c r="T3" s="1277" t="s">
        <v>975</v>
      </c>
      <c r="U3" s="1278" t="s">
        <v>976</v>
      </c>
      <c r="V3" s="1278" t="s">
        <v>977</v>
      </c>
      <c r="W3" s="815" t="s">
        <v>978</v>
      </c>
      <c r="X3" s="815" t="s">
        <v>979</v>
      </c>
      <c r="Y3" s="815" t="s">
        <v>980</v>
      </c>
      <c r="Z3" s="815" t="s">
        <v>981</v>
      </c>
      <c r="AA3" s="1501"/>
      <c r="AB3" s="1504"/>
      <c r="AC3" s="1277" t="s">
        <v>982</v>
      </c>
      <c r="AD3" s="1277" t="s">
        <v>983</v>
      </c>
      <c r="AE3" s="245" t="s">
        <v>984</v>
      </c>
      <c r="AM3" s="1"/>
      <c r="AN3" s="1"/>
      <c r="AO3"/>
      <c r="AP3"/>
      <c r="AQ3"/>
      <c r="AR3"/>
      <c r="AS3"/>
      <c r="AT3"/>
      <c r="AU3"/>
      <c r="AV3"/>
      <c r="AW3"/>
      <c r="AX3" s="1263"/>
      <c r="AY3"/>
      <c r="AZ3"/>
      <c r="BA3"/>
      <c r="BB3" s="1264"/>
      <c r="BC3" s="1264"/>
      <c r="BD3"/>
      <c r="BE3"/>
      <c r="BF3"/>
      <c r="BG3"/>
    </row>
    <row r="4" spans="1:59" ht="25" customHeight="1">
      <c r="A4" s="1279"/>
      <c r="B4" s="1279"/>
      <c r="C4" s="1280"/>
      <c r="D4" s="1279"/>
      <c r="E4" s="1281"/>
      <c r="F4" s="1280"/>
      <c r="G4" s="1280"/>
      <c r="H4" s="1282"/>
      <c r="I4" s="1280"/>
      <c r="J4" s="1"/>
      <c r="K4" s="790">
        <v>1</v>
      </c>
      <c r="L4" s="1283" t="s">
        <v>985</v>
      </c>
      <c r="M4" s="358"/>
      <c r="N4" s="358"/>
      <c r="O4" s="358"/>
      <c r="P4" s="790" t="s">
        <v>986</v>
      </c>
      <c r="Q4" s="1284">
        <f>((B10+0.2)*(B11+0.2)*B23/1000)</f>
        <v>2.5920000000000001</v>
      </c>
      <c r="R4" s="782"/>
      <c r="S4" s="815" t="str">
        <f>H3</f>
        <v>D411-25</v>
      </c>
      <c r="T4" s="1285"/>
      <c r="U4" s="816">
        <f>Q5</f>
        <v>12.724</v>
      </c>
      <c r="V4" s="816">
        <f>Q4</f>
        <v>2.5920000000000001</v>
      </c>
      <c r="W4" s="816">
        <f>K38</f>
        <v>271.41654750000004</v>
      </c>
      <c r="X4" s="816">
        <f>M38</f>
        <v>212.16762000000003</v>
      </c>
      <c r="Y4" s="816" t="s">
        <v>987</v>
      </c>
      <c r="Z4" s="816">
        <f>N38</f>
        <v>307.07040000000006</v>
      </c>
      <c r="AA4" s="816">
        <f>Q8</f>
        <v>790.6545675000001</v>
      </c>
      <c r="AB4" s="815" t="s">
        <v>988</v>
      </c>
      <c r="AC4" s="816">
        <f>Q10</f>
        <v>121.45466666666665</v>
      </c>
      <c r="AD4" s="816">
        <f>Q11</f>
        <v>107.57866666666665</v>
      </c>
      <c r="AE4" s="816">
        <f>R36+R38</f>
        <v>33.68</v>
      </c>
      <c r="AM4" s="1"/>
      <c r="AN4" s="1"/>
      <c r="AO4"/>
      <c r="AP4"/>
      <c r="AQ4"/>
      <c r="AR4"/>
      <c r="AS4"/>
      <c r="AT4"/>
      <c r="AU4"/>
      <c r="AV4"/>
      <c r="AW4"/>
      <c r="AX4" s="1286"/>
      <c r="AY4"/>
      <c r="AZ4"/>
      <c r="BA4"/>
      <c r="BB4" s="1264"/>
      <c r="BC4" s="1264"/>
      <c r="BD4"/>
      <c r="BE4"/>
      <c r="BF4"/>
      <c r="BG4"/>
    </row>
    <row r="5" spans="1:59" ht="17">
      <c r="A5" s="1279"/>
      <c r="B5" s="1279"/>
      <c r="C5" s="1280"/>
      <c r="D5" s="1279"/>
      <c r="E5" s="1281"/>
      <c r="F5" s="1280"/>
      <c r="G5" s="1280"/>
      <c r="H5" s="1282"/>
      <c r="I5" s="1280"/>
      <c r="J5" s="1"/>
      <c r="K5" s="143">
        <v>2</v>
      </c>
      <c r="L5" s="1287" t="s">
        <v>989</v>
      </c>
      <c r="M5" s="1"/>
      <c r="N5" s="1"/>
      <c r="O5" s="1"/>
      <c r="P5" s="143" t="s">
        <v>986</v>
      </c>
      <c r="Q5" s="1288">
        <f>Q6+Q7</f>
        <v>12.724</v>
      </c>
      <c r="R5" s="782"/>
      <c r="V5" s="1"/>
      <c r="W5" s="1"/>
      <c r="X5" s="1"/>
      <c r="Y5"/>
      <c r="AA5" s="1289" t="s">
        <v>990</v>
      </c>
      <c r="AB5" s="1289" t="s">
        <v>991</v>
      </c>
      <c r="AM5" s="1"/>
      <c r="AN5" s="1"/>
      <c r="AO5"/>
      <c r="AP5"/>
      <c r="AQ5"/>
      <c r="AR5"/>
      <c r="AS5"/>
      <c r="AT5"/>
      <c r="AU5"/>
      <c r="AV5"/>
      <c r="AW5"/>
      <c r="AX5" s="1290"/>
      <c r="AY5"/>
      <c r="AZ5"/>
      <c r="BA5"/>
      <c r="BB5" s="1264"/>
      <c r="BC5" s="1264"/>
      <c r="BD5"/>
      <c r="BE5"/>
      <c r="BF5"/>
      <c r="BG5"/>
    </row>
    <row r="6" spans="1:59" ht="17">
      <c r="A6" s="1279"/>
      <c r="B6" s="1279"/>
      <c r="C6" s="1280"/>
      <c r="D6" s="1279"/>
      <c r="E6" s="1281"/>
      <c r="F6" s="1280"/>
      <c r="G6" s="1280"/>
      <c r="H6" s="1282"/>
      <c r="I6" s="1280"/>
      <c r="J6" s="1"/>
      <c r="K6" s="143"/>
      <c r="L6" s="1287">
        <v>2.1</v>
      </c>
      <c r="M6" s="1" t="s">
        <v>992</v>
      </c>
      <c r="N6" s="1"/>
      <c r="O6" s="1"/>
      <c r="P6" s="143" t="s">
        <v>986</v>
      </c>
      <c r="Q6" s="1291">
        <f>((B10*B11+(B14+D15+0.2)^2+(B10+B14+D15+0.2)*(B11+B14+D15+0.2))*(B16-B17)/6+B17*B10*B11)</f>
        <v>8.26</v>
      </c>
      <c r="S6" s="1292"/>
      <c r="V6" s="1"/>
      <c r="W6" s="1"/>
      <c r="X6" s="1"/>
      <c r="Y6"/>
      <c r="Z6" s="3" t="s">
        <v>67</v>
      </c>
      <c r="AA6" s="11">
        <f>B10+0.6</f>
        <v>5.1999999999999993</v>
      </c>
      <c r="AB6" s="3">
        <f>B14+B11+2*0.3</f>
        <v>8.4</v>
      </c>
      <c r="AC6" s="1" t="s">
        <v>267</v>
      </c>
      <c r="AM6" s="1"/>
      <c r="AN6" s="1"/>
      <c r="AO6"/>
      <c r="AP6"/>
      <c r="AQ6"/>
      <c r="AR6"/>
      <c r="AS6"/>
      <c r="AT6"/>
      <c r="AU6"/>
      <c r="AV6"/>
      <c r="AW6"/>
      <c r="AX6" s="1"/>
      <c r="AY6"/>
      <c r="AZ6"/>
      <c r="BA6"/>
      <c r="BB6" s="1"/>
      <c r="BC6" s="1"/>
      <c r="BD6"/>
      <c r="BE6"/>
      <c r="BF6"/>
      <c r="BG6"/>
    </row>
    <row r="7" spans="1:59" ht="17">
      <c r="A7" s="1279"/>
      <c r="B7" s="1279"/>
      <c r="C7" s="1280"/>
      <c r="D7" s="1279"/>
      <c r="E7" s="1281"/>
      <c r="F7" s="1280"/>
      <c r="G7" s="1280"/>
      <c r="H7" s="1282"/>
      <c r="I7" s="1280"/>
      <c r="J7" s="1"/>
      <c r="K7" s="143"/>
      <c r="L7" s="1287">
        <v>2.2000000000000002</v>
      </c>
      <c r="M7" s="1" t="s">
        <v>993</v>
      </c>
      <c r="N7" s="1"/>
      <c r="O7" s="1"/>
      <c r="P7" s="143" t="s">
        <v>986</v>
      </c>
      <c r="Q7" s="1291">
        <f>4*((D15^2+B15^2+(D15+B15)^2)*(B12+B13-B16)/6)</f>
        <v>4.4640000000000004</v>
      </c>
      <c r="S7" s="390"/>
      <c r="V7" s="1"/>
      <c r="W7" s="1"/>
      <c r="X7"/>
      <c r="Y7"/>
      <c r="Z7" s="3" t="s">
        <v>73</v>
      </c>
      <c r="AA7" s="11">
        <f>B11+0.6</f>
        <v>5.8</v>
      </c>
      <c r="AB7" s="3">
        <f>B14+B10+2*0.3</f>
        <v>7.7999999999999989</v>
      </c>
      <c r="AC7" s="1" t="s">
        <v>267</v>
      </c>
      <c r="AM7" s="100"/>
      <c r="AN7" s="1"/>
      <c r="AO7" s="1"/>
      <c r="AP7" s="1"/>
      <c r="AQ7" s="100"/>
      <c r="AR7" s="1293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ht="16" thickBot="1">
      <c r="A8" s="382" t="s">
        <v>994</v>
      </c>
      <c r="B8" s="1"/>
      <c r="C8" s="1"/>
      <c r="D8" s="1"/>
      <c r="E8" s="1"/>
      <c r="F8" s="1"/>
      <c r="G8" s="1"/>
      <c r="H8" s="1"/>
      <c r="I8" s="1"/>
      <c r="J8" s="1"/>
      <c r="K8" s="143">
        <v>3</v>
      </c>
      <c r="L8" s="1287" t="s">
        <v>995</v>
      </c>
      <c r="M8" s="1"/>
      <c r="N8" s="1"/>
      <c r="O8" s="1"/>
      <c r="P8" s="143" t="s">
        <v>290</v>
      </c>
      <c r="Q8" s="1288">
        <f>+IF(SUM(K38:O38)=(1+0.01*R35)*SUM(R16:R34),SUM(K38:O38),"Chưa được")</f>
        <v>790.6545675000001</v>
      </c>
      <c r="R8" s="782"/>
      <c r="S8" s="100"/>
      <c r="T8" s="782"/>
      <c r="V8" s="1"/>
      <c r="W8" s="1"/>
      <c r="X8" s="1"/>
      <c r="Y8" s="1"/>
      <c r="Z8" s="3" t="s">
        <v>996</v>
      </c>
      <c r="AA8" s="11">
        <f>AA6+2*AA10*E26</f>
        <v>7.7999999999999989</v>
      </c>
      <c r="AB8" s="3">
        <f>AB6+2*AB10*E26</f>
        <v>11</v>
      </c>
      <c r="AC8" s="1" t="s">
        <v>267</v>
      </c>
      <c r="AM8" s="1"/>
      <c r="AN8" s="1"/>
      <c r="AO8" s="1"/>
      <c r="AP8" s="1"/>
      <c r="AQ8" s="1"/>
      <c r="AR8" s="100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ht="16" thickBot="1">
      <c r="A9" s="1294" t="s">
        <v>997</v>
      </c>
      <c r="B9" s="1295"/>
      <c r="C9" s="1295"/>
      <c r="D9" s="1295"/>
      <c r="E9" s="1296"/>
      <c r="F9" s="1506" t="s">
        <v>998</v>
      </c>
      <c r="G9" s="1507"/>
      <c r="H9" s="1507"/>
      <c r="I9" s="1508"/>
      <c r="J9" s="1297"/>
      <c r="K9" s="143">
        <v>4</v>
      </c>
      <c r="L9" s="1287" t="str">
        <f>"BU LÔNG NEO "&amp;[2]TINH_TOAN!F114</f>
        <v>BU LÔNG NEO M36</v>
      </c>
      <c r="M9" s="1"/>
      <c r="N9" s="1"/>
      <c r="O9" s="1"/>
      <c r="P9" s="143" t="s">
        <v>999</v>
      </c>
      <c r="Q9" s="1298"/>
      <c r="T9" s="782"/>
      <c r="U9" s="1"/>
      <c r="V9" s="1"/>
      <c r="W9" s="1"/>
      <c r="X9" s="1"/>
      <c r="Y9" s="6"/>
      <c r="Z9" s="3" t="s">
        <v>1000</v>
      </c>
      <c r="AA9" s="11">
        <f>AA7+2*AA10*E26</f>
        <v>8.4</v>
      </c>
      <c r="AB9" s="3">
        <f>AB7+2*AB10*E26</f>
        <v>10.399999999999999</v>
      </c>
      <c r="AC9" s="1" t="s">
        <v>267</v>
      </c>
      <c r="AM9" s="1"/>
      <c r="AN9" s="1"/>
      <c r="AO9" s="1"/>
      <c r="AP9" s="1"/>
      <c r="AQ9" s="1"/>
      <c r="AR9" s="100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ht="16.5">
      <c r="A10" s="1299" t="s">
        <v>1001</v>
      </c>
      <c r="B10" s="1300">
        <f>'[1]N411-20'!K10</f>
        <v>4.5999999999999996</v>
      </c>
      <c r="C10" s="1301" t="s">
        <v>267</v>
      </c>
      <c r="D10" s="1302"/>
      <c r="E10" s="1303"/>
      <c r="F10" s="1283" t="s">
        <v>1002</v>
      </c>
      <c r="G10" s="358"/>
      <c r="H10" s="358"/>
      <c r="I10" s="1257"/>
      <c r="J10" s="1263"/>
      <c r="K10" s="143">
        <v>5</v>
      </c>
      <c r="L10" s="1287" t="s">
        <v>1003</v>
      </c>
      <c r="M10" s="1263" t="str">
        <f>"("&amp;IF(AND(J10&gt;0,J11&gt;0),"Đào từng chân trụ","Đào hết móng")&amp;")"</f>
        <v>(Đào hết móng)</v>
      </c>
      <c r="N10" s="1"/>
      <c r="O10" s="1"/>
      <c r="P10" s="143" t="s">
        <v>986</v>
      </c>
      <c r="Q10" s="1304">
        <f>IF(J10&lt;0,AB11,AA11*E25)</f>
        <v>121.45466666666665</v>
      </c>
      <c r="U10" s="1305"/>
      <c r="V10" s="1"/>
      <c r="W10" s="1"/>
      <c r="Y10" s="6"/>
      <c r="Z10" s="3" t="s">
        <v>74</v>
      </c>
      <c r="AA10" s="11">
        <f>B12+B23/1000</f>
        <v>2.6</v>
      </c>
      <c r="AB10" s="11">
        <f>AA10</f>
        <v>2.6</v>
      </c>
      <c r="AC10" s="1" t="s">
        <v>267</v>
      </c>
      <c r="AM10" s="1"/>
      <c r="AN10" s="1"/>
      <c r="AO10" s="1"/>
      <c r="AP10" s="1"/>
      <c r="AQ10" s="1"/>
      <c r="AR10" s="10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ht="14.25" customHeight="1">
      <c r="A11" s="1306" t="s">
        <v>1004</v>
      </c>
      <c r="B11" s="1307">
        <f>'[1]N411-20'!K11</f>
        <v>5.2</v>
      </c>
      <c r="C11" s="1308" t="s">
        <v>267</v>
      </c>
      <c r="D11" s="1309"/>
      <c r="E11" s="1310"/>
      <c r="F11" s="1287" t="s">
        <v>1005</v>
      </c>
      <c r="G11" s="1"/>
      <c r="H11" s="1"/>
      <c r="I11" s="1311"/>
      <c r="J11" s="1263"/>
      <c r="K11" s="143">
        <v>6</v>
      </c>
      <c r="L11" s="1287" t="s">
        <v>1006</v>
      </c>
      <c r="M11" s="1"/>
      <c r="N11" s="1"/>
      <c r="O11" s="1"/>
      <c r="P11" s="143" t="s">
        <v>986</v>
      </c>
      <c r="Q11" s="1304">
        <f>+Q10-Q4-Q5+4*(B15^2+(B15+(D15-B15)*B13/(B12+B13-B16))^2+(B15+(B15+(D15-B15)*B13/(B12+B13-B16)))^2)*B13/6</f>
        <v>107.57866666666665</v>
      </c>
      <c r="U11" s="1305"/>
      <c r="V11" s="100"/>
      <c r="W11" s="100"/>
      <c r="X11" s="1"/>
      <c r="Y11" s="6"/>
      <c r="Z11" s="11" t="s">
        <v>114</v>
      </c>
      <c r="AA11" s="100">
        <f>(AA6*AA7+AA8*AA9+(AA6+AA8)*(AA7+AA9))*AA10/6</f>
        <v>121.45466666666665</v>
      </c>
      <c r="AB11" s="100">
        <f>(AB6*AB7+AB8*AB9+(AB6+AB8)*(AB7+AB9))*AB10/6</f>
        <v>230.96666666666658</v>
      </c>
      <c r="AC11" s="3" t="s">
        <v>986</v>
      </c>
      <c r="AM11" s="1"/>
      <c r="AN11" s="1"/>
      <c r="AO11" s="1"/>
      <c r="AP11" s="1"/>
      <c r="AQ11" s="1"/>
      <c r="AR11" s="100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ht="16.5" thickBot="1">
      <c r="A12" s="1306" t="s">
        <v>1007</v>
      </c>
      <c r="B12" s="1312">
        <f>'[1]N411-20'!K14</f>
        <v>2.5</v>
      </c>
      <c r="C12" s="1313" t="s">
        <v>267</v>
      </c>
      <c r="D12" s="1314"/>
      <c r="E12" s="1315"/>
      <c r="F12" s="1287" t="s">
        <v>1008</v>
      </c>
      <c r="G12" s="1"/>
      <c r="H12" s="1"/>
      <c r="I12" s="1311"/>
      <c r="J12" s="1316"/>
      <c r="K12" s="1317"/>
      <c r="L12" s="1318"/>
      <c r="M12" s="1319"/>
      <c r="N12" s="1319"/>
      <c r="O12" s="1319"/>
      <c r="P12" s="1317"/>
      <c r="Q12" s="1320"/>
      <c r="S12" s="1"/>
      <c r="U12" s="100"/>
      <c r="V12" s="1"/>
      <c r="W12" s="1"/>
      <c r="X12" s="1"/>
      <c r="Y12" s="6"/>
      <c r="Z12" s="100"/>
      <c r="AA12" s="1"/>
      <c r="AB12" s="1"/>
      <c r="AC12" s="1"/>
      <c r="AM12" s="1"/>
      <c r="AN12" s="1"/>
      <c r="AO12" s="1"/>
      <c r="AP12" s="1"/>
      <c r="AQ12" s="1"/>
      <c r="AR12" s="100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>
      <c r="A13" s="1321" t="s">
        <v>1000</v>
      </c>
      <c r="B13" s="1312">
        <f>'[1]N411-20'!K16</f>
        <v>1</v>
      </c>
      <c r="C13" s="1313" t="s">
        <v>267</v>
      </c>
      <c r="D13" s="1314"/>
      <c r="E13" s="1315"/>
      <c r="F13" s="1287" t="s">
        <v>1009</v>
      </c>
      <c r="G13" s="1"/>
      <c r="H13" s="1"/>
      <c r="I13" s="1311"/>
      <c r="J13" s="1316"/>
      <c r="V13" s="1"/>
      <c r="W13" s="1"/>
      <c r="X13" s="1"/>
      <c r="Y13" s="1"/>
      <c r="Z13" s="1"/>
      <c r="AA13" s="1322"/>
      <c r="AB13"/>
      <c r="AC13" s="1322"/>
      <c r="AM13" s="1"/>
      <c r="AN13" s="1"/>
      <c r="AO13" s="1"/>
      <c r="AP13" s="1"/>
      <c r="AQ13" s="1"/>
      <c r="AR13" s="100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ht="16.5" thickBot="1">
      <c r="A14" s="1306" t="s">
        <v>1010</v>
      </c>
      <c r="B14" s="1312">
        <f>'[1]N411-20'!K7</f>
        <v>2.6</v>
      </c>
      <c r="C14" s="1313" t="s">
        <v>267</v>
      </c>
      <c r="D14" s="1314"/>
      <c r="E14" s="1315"/>
      <c r="F14" s="1287" t="s">
        <v>1011</v>
      </c>
      <c r="G14" s="1"/>
      <c r="H14" s="1"/>
      <c r="I14" s="1311"/>
      <c r="J14" s="382" t="s">
        <v>1012</v>
      </c>
      <c r="K14" s="1" t="s">
        <v>1013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322"/>
      <c r="AB14"/>
      <c r="AC14" s="1322"/>
      <c r="AM14" s="1"/>
      <c r="AN14" s="1"/>
      <c r="AO14" s="1"/>
      <c r="AP14" s="1"/>
      <c r="AQ14" s="1"/>
      <c r="AR14" s="100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ht="25.5" customHeight="1">
      <c r="A15" s="1321" t="s">
        <v>1014</v>
      </c>
      <c r="B15" s="1312">
        <f>'[1]N411-20'!K23</f>
        <v>0.6</v>
      </c>
      <c r="C15" s="1313" t="s">
        <v>267</v>
      </c>
      <c r="D15" s="1323">
        <f>B15</f>
        <v>0.6</v>
      </c>
      <c r="E15" s="1315" t="s">
        <v>267</v>
      </c>
      <c r="F15" s="1287" t="s">
        <v>1015</v>
      </c>
      <c r="G15" s="1"/>
      <c r="H15" s="1"/>
      <c r="I15" s="1"/>
      <c r="J15" s="1324" t="s">
        <v>1016</v>
      </c>
      <c r="K15" s="1325" t="s">
        <v>1017</v>
      </c>
      <c r="L15" s="1326"/>
      <c r="M15" s="1326"/>
      <c r="N15" s="1327" t="s">
        <v>1018</v>
      </c>
      <c r="O15" s="1328" t="s">
        <v>1019</v>
      </c>
      <c r="P15" s="1326" t="s">
        <v>718</v>
      </c>
      <c r="Q15" s="1329" t="s">
        <v>1020</v>
      </c>
      <c r="R15" s="1330" t="s">
        <v>1021</v>
      </c>
      <c r="T15" s="3"/>
      <c r="V15" s="1"/>
      <c r="W15" s="1"/>
      <c r="X15" s="1"/>
      <c r="Y15" s="1"/>
      <c r="AB15"/>
      <c r="AC15"/>
      <c r="AM15" s="1"/>
      <c r="AN15" s="1"/>
      <c r="AO15" s="1"/>
      <c r="AP15" s="1"/>
      <c r="AQ15" s="1"/>
      <c r="AR15" s="100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ht="16">
      <c r="A16" s="1321" t="s">
        <v>1022</v>
      </c>
      <c r="B16" s="1312">
        <f>'[1]N411-20'!K20</f>
        <v>0.4</v>
      </c>
      <c r="C16" s="1313" t="s">
        <v>267</v>
      </c>
      <c r="D16" s="1314"/>
      <c r="E16" s="1315"/>
      <c r="F16" s="1287" t="s">
        <v>1023</v>
      </c>
      <c r="G16" s="1"/>
      <c r="H16" s="1"/>
      <c r="I16" s="1"/>
      <c r="J16" s="1331">
        <v>1</v>
      </c>
      <c r="K16" s="1332"/>
      <c r="L16" s="1333">
        <f>+B10*1000-C28*2</f>
        <v>4500</v>
      </c>
      <c r="M16" s="1334"/>
      <c r="N16" s="1335">
        <f>C18</f>
        <v>12</v>
      </c>
      <c r="O16" s="1336">
        <f>+K16+L16+M16</f>
        <v>4500</v>
      </c>
      <c r="P16" s="1337">
        <f>H60</f>
        <v>23</v>
      </c>
      <c r="Q16" s="1338">
        <f>((P16*O16)/1000)</f>
        <v>103.5</v>
      </c>
      <c r="R16" s="1339">
        <f>+VLOOKUP(N16,CT,3,0)*Q16</f>
        <v>91.908000000000001</v>
      </c>
      <c r="S16" s="1" t="s">
        <v>1024</v>
      </c>
      <c r="T16" s="11"/>
      <c r="W16" s="1"/>
      <c r="X16" s="1"/>
      <c r="Y16" s="1"/>
      <c r="AB16" s="1"/>
      <c r="AC16" s="1"/>
      <c r="AG16" s="771" t="s">
        <v>1025</v>
      </c>
      <c r="AL16" s="1"/>
      <c r="AM16" s="1"/>
      <c r="AN16" s="1"/>
      <c r="AO16" s="1"/>
      <c r="AP16" s="1"/>
      <c r="AQ16" s="1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ht="16">
      <c r="A17" s="1321" t="s">
        <v>1026</v>
      </c>
      <c r="B17" s="1312">
        <f>'[1]N411-20'!K21</f>
        <v>0.2</v>
      </c>
      <c r="C17" s="1313" t="s">
        <v>267</v>
      </c>
      <c r="D17" s="1314"/>
      <c r="E17" s="1315"/>
      <c r="F17" s="1287" t="s">
        <v>1027</v>
      </c>
      <c r="G17" s="1"/>
      <c r="H17" s="1"/>
      <c r="I17" s="1"/>
      <c r="J17" s="143"/>
      <c r="K17" s="1340">
        <f>ROUND(D85,-1)</f>
        <v>490</v>
      </c>
      <c r="L17" s="1341">
        <f>ROUND(C85,-1)</f>
        <v>3580</v>
      </c>
      <c r="M17" s="1342"/>
      <c r="N17" s="1343"/>
      <c r="O17" s="3"/>
      <c r="P17" s="1344"/>
      <c r="Q17" s="1345"/>
      <c r="R17" s="1346"/>
      <c r="S17" s="1"/>
      <c r="T17" s="11"/>
      <c r="W17" s="1"/>
      <c r="X17" s="1"/>
      <c r="Y17" s="1"/>
      <c r="AB17" s="1"/>
      <c r="AC17" s="1"/>
      <c r="AD17" s="771" t="s">
        <v>401</v>
      </c>
      <c r="AE17" s="779">
        <f>IF(AE21&lt;3, 0.25,0.5)</f>
        <v>0.25</v>
      </c>
      <c r="AF17" s="771" t="s">
        <v>982</v>
      </c>
      <c r="AG17" s="782">
        <f>((AG29*AG29+AF20*AF20+(AG29+AF20)*(AG29+AF20))*AE21/6)*4</f>
        <v>318.18666666666655</v>
      </c>
      <c r="AH17" s="782"/>
      <c r="AI17" s="1"/>
      <c r="AJ17" s="1"/>
      <c r="AK17" s="1"/>
      <c r="AL17" s="1"/>
      <c r="AM17" s="1"/>
      <c r="AN17" s="1"/>
      <c r="AO17" s="1"/>
      <c r="AP17" s="1"/>
      <c r="AQ17" s="1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>
      <c r="A18" s="1321" t="s">
        <v>1028</v>
      </c>
      <c r="B18" s="1347" t="s">
        <v>1029</v>
      </c>
      <c r="C18" s="1348">
        <f>'[1]N411-20'!C98</f>
        <v>12</v>
      </c>
      <c r="D18" s="1349" t="s">
        <v>1030</v>
      </c>
      <c r="E18" s="1350">
        <f>'[1]N411-20'!E98*10</f>
        <v>200</v>
      </c>
      <c r="F18" s="1287"/>
      <c r="G18" s="1"/>
      <c r="H18" s="1"/>
      <c r="I18" s="1"/>
      <c r="J18" s="1331">
        <v>2</v>
      </c>
      <c r="K18" s="1351">
        <f>B17*1000-(F28+C28)</f>
        <v>100</v>
      </c>
      <c r="L18" s="1341"/>
      <c r="M18" s="1342">
        <f>K18</f>
        <v>100</v>
      </c>
      <c r="N18" s="1335">
        <f>N16</f>
        <v>12</v>
      </c>
      <c r="O18" s="1336">
        <f>L17+2*(K18+K17)</f>
        <v>4760</v>
      </c>
      <c r="P18" s="1337">
        <f>P16</f>
        <v>23</v>
      </c>
      <c r="Q18" s="1338">
        <f>((P18*O18)/1000)</f>
        <v>109.48</v>
      </c>
      <c r="R18" s="1339">
        <f>+VLOOKUP(N18,CT,3,0)*Q18</f>
        <v>97.218240000000009</v>
      </c>
      <c r="S18" s="1" t="s">
        <v>1031</v>
      </c>
      <c r="T18" s="11"/>
      <c r="W18" s="1"/>
      <c r="X18" s="1"/>
      <c r="Y18" s="1"/>
      <c r="Z18" s="1"/>
      <c r="AA18" s="1"/>
      <c r="AB18" s="1"/>
      <c r="AC18" s="1"/>
      <c r="AF18" s="771" t="s">
        <v>1032</v>
      </c>
      <c r="AG18" s="782">
        <f>(AH28*AH28*(AE25+0.1))*4</f>
        <v>75.711999999999989</v>
      </c>
      <c r="AH18" s="782"/>
      <c r="AI18" s="1"/>
      <c r="AJ18" s="1"/>
      <c r="AK18" s="1"/>
      <c r="AL18" s="1"/>
      <c r="AM18" s="1"/>
      <c r="AN18" s="1"/>
      <c r="AO18" s="1"/>
      <c r="AP18" s="1"/>
      <c r="AQ18" s="1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>
      <c r="A19" s="1352" t="s">
        <v>1033</v>
      </c>
      <c r="B19" s="1353" t="s">
        <v>1029</v>
      </c>
      <c r="C19" s="1354">
        <f>C18</f>
        <v>12</v>
      </c>
      <c r="D19" s="1355" t="s">
        <v>1030</v>
      </c>
      <c r="E19" s="1356">
        <f>E18*3</f>
        <v>600</v>
      </c>
      <c r="F19" s="1357"/>
      <c r="G19" s="1"/>
      <c r="H19" s="1263"/>
      <c r="I19" s="1"/>
      <c r="J19" s="143"/>
      <c r="K19" s="1358"/>
      <c r="L19" s="1341"/>
      <c r="M19" s="1359"/>
      <c r="N19" s="1343"/>
      <c r="O19" s="3"/>
      <c r="P19" s="1344"/>
      <c r="Q19" s="1345"/>
      <c r="R19" s="1346"/>
      <c r="S19"/>
      <c r="T19" s="11"/>
      <c r="W19" s="1"/>
      <c r="X19" s="1"/>
      <c r="Y19" s="1"/>
      <c r="Z19" s="1"/>
      <c r="AA19" s="1"/>
      <c r="AB19" s="1"/>
      <c r="AC19" s="1"/>
      <c r="AF19" s="771" t="s">
        <v>983</v>
      </c>
      <c r="AG19" s="782">
        <f>+AG17+AG18-Q4-Q5+4*(B15^2+(B15+(D15-B15)*B13/(B12+B13-B16))^2+(B15+(B15+(D15-B15)*B13/(B12+B13-B16)))^2)*B13/6</f>
        <v>380.02266666666657</v>
      </c>
      <c r="AH19" s="782"/>
      <c r="AI19"/>
      <c r="AJ19"/>
      <c r="AK19" s="1"/>
      <c r="AL19" s="1"/>
      <c r="AM19" s="1"/>
      <c r="AN19" s="1"/>
      <c r="AO19" s="1"/>
      <c r="AP19" s="1"/>
      <c r="AQ19" s="1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>
      <c r="A20" s="1321" t="s">
        <v>1034</v>
      </c>
      <c r="B20" s="1360"/>
      <c r="C20" s="1348">
        <f>('[1]N411-20'!E232-1)*4</f>
        <v>8</v>
      </c>
      <c r="D20" s="1347" t="s">
        <v>1029</v>
      </c>
      <c r="E20" s="1361">
        <f>'[1]N411-20'!C232</f>
        <v>20</v>
      </c>
      <c r="F20" s="1287" t="s">
        <v>1035</v>
      </c>
      <c r="J20" s="1331">
        <v>3</v>
      </c>
      <c r="K20" s="1362"/>
      <c r="L20" s="1341">
        <f>+B11*1000-C28*2</f>
        <v>5100</v>
      </c>
      <c r="M20" s="1342"/>
      <c r="N20" s="1335">
        <f>C22</f>
        <v>8</v>
      </c>
      <c r="O20" s="1336">
        <f>+K20+L20+M20</f>
        <v>5100</v>
      </c>
      <c r="P20" s="1337">
        <f>S84</f>
        <v>27</v>
      </c>
      <c r="Q20" s="1338">
        <f>((P20*O20)/1000)</f>
        <v>137.69999999999999</v>
      </c>
      <c r="R20" s="1339">
        <f>+VLOOKUP(N20,CT,3,0)*Q20</f>
        <v>54.391500000000001</v>
      </c>
      <c r="S20" s="1" t="s">
        <v>1036</v>
      </c>
      <c r="W20" s="1"/>
      <c r="X20" s="1"/>
      <c r="Y20" s="1"/>
      <c r="Z20" s="1"/>
      <c r="AA20" s="1"/>
      <c r="AB20" s="1"/>
      <c r="AC20" s="1"/>
      <c r="AF20" s="1509">
        <f>AG29+2*(AE21*AE17)</f>
        <v>6.7999999999999989</v>
      </c>
      <c r="AG20" s="1509"/>
      <c r="AH20" s="1509"/>
      <c r="AI20" s="1509"/>
      <c r="AJ20" s="1509"/>
      <c r="AK20" s="1509"/>
      <c r="AL20" s="1"/>
      <c r="AM20" s="1"/>
      <c r="AN20" s="1"/>
      <c r="AO20" s="1"/>
      <c r="AP20" s="1"/>
      <c r="AQ20" s="1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>
      <c r="A21" s="1321"/>
      <c r="B21" s="1360"/>
      <c r="C21" s="1363"/>
      <c r="D21" s="1347"/>
      <c r="E21" s="1364"/>
      <c r="F21" s="1287"/>
      <c r="G21" s="1"/>
      <c r="H21" s="1305"/>
      <c r="I21" s="1"/>
      <c r="J21" s="143"/>
      <c r="K21" s="1340">
        <f>ROUND(P85,-1)</f>
        <v>700</v>
      </c>
      <c r="L21" s="1341">
        <f>ROUND(O85,-1)</f>
        <v>3730</v>
      </c>
      <c r="M21" s="1342"/>
      <c r="N21" s="1343"/>
      <c r="O21" s="3"/>
      <c r="P21" s="1344"/>
      <c r="Q21" s="1345"/>
      <c r="R21" s="1346"/>
      <c r="S21" s="1"/>
      <c r="W21" s="1"/>
      <c r="X21" s="1"/>
      <c r="Y21" s="1"/>
      <c r="Z21" s="1"/>
      <c r="AA21" s="1"/>
      <c r="AB21" s="1"/>
      <c r="AC21" s="1"/>
      <c r="AE21" s="1510">
        <v>2</v>
      </c>
      <c r="AH21" s="1"/>
      <c r="AI21" s="1"/>
      <c r="AJ21" s="1"/>
      <c r="AK21" s="1"/>
      <c r="AL21" s="100"/>
      <c r="AM21" s="1"/>
      <c r="AN21" s="1"/>
      <c r="AO21" s="1"/>
      <c r="AP21" s="1"/>
      <c r="AQ21" s="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>
      <c r="A22" s="1365" t="s">
        <v>1037</v>
      </c>
      <c r="B22" s="1347" t="s">
        <v>1029</v>
      </c>
      <c r="C22" s="1366">
        <v>8</v>
      </c>
      <c r="D22" s="1349" t="s">
        <v>638</v>
      </c>
      <c r="E22" s="1367">
        <v>200</v>
      </c>
      <c r="F22" s="1287" t="s">
        <v>1038</v>
      </c>
      <c r="G22" s="1"/>
      <c r="H22" s="1"/>
      <c r="I22" s="1"/>
      <c r="J22" s="1331">
        <v>4</v>
      </c>
      <c r="K22" s="1351">
        <f>K18</f>
        <v>100</v>
      </c>
      <c r="L22" s="1341"/>
      <c r="M22" s="1342">
        <f>K22</f>
        <v>100</v>
      </c>
      <c r="N22" s="1335">
        <f>N20</f>
        <v>8</v>
      </c>
      <c r="O22" s="1336">
        <f>L21+2*(K22+K21)</f>
        <v>5330</v>
      </c>
      <c r="P22" s="1337">
        <f>P20</f>
        <v>27</v>
      </c>
      <c r="Q22" s="1338">
        <f>((P22*O22)/1000)</f>
        <v>143.91</v>
      </c>
      <c r="R22" s="1339">
        <f>+VLOOKUP(N22,CT,3,0)*Q22</f>
        <v>56.844450000000002</v>
      </c>
      <c r="S22" s="1" t="s">
        <v>1039</v>
      </c>
      <c r="W22" s="1"/>
      <c r="X22" s="1"/>
      <c r="Y22" s="1"/>
      <c r="Z22" s="1368">
        <v>87</v>
      </c>
      <c r="AA22" s="1369">
        <v>1.7</v>
      </c>
      <c r="AB22" s="1"/>
      <c r="AC22" s="1"/>
      <c r="AE22" s="151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ht="15" customHeight="1" thickBot="1">
      <c r="A23" s="1370" t="s">
        <v>1040</v>
      </c>
      <c r="B23" s="1371">
        <v>100</v>
      </c>
      <c r="C23" s="771" t="s">
        <v>499</v>
      </c>
      <c r="D23" s="1"/>
      <c r="E23" s="1"/>
      <c r="F23" s="1318"/>
      <c r="G23" s="1372"/>
      <c r="H23" s="1319"/>
      <c r="I23" s="1319"/>
      <c r="J23" s="143"/>
      <c r="K23" s="1358"/>
      <c r="L23" s="1341" t="str">
        <f>AC69&amp;"*"</f>
        <v>270*</v>
      </c>
      <c r="M23" s="1359"/>
      <c r="N23" s="1343"/>
      <c r="O23" s="3"/>
      <c r="P23" s="1344"/>
      <c r="Q23" s="1345"/>
      <c r="R23" s="1346"/>
      <c r="W23" s="1"/>
      <c r="X23" s="1"/>
      <c r="Y23" s="1"/>
      <c r="Z23" s="1368">
        <v>94</v>
      </c>
      <c r="AA23" s="1369">
        <v>2</v>
      </c>
      <c r="AB23" s="1"/>
      <c r="AC23" s="1"/>
      <c r="AE23" s="1511"/>
      <c r="AF23" s="100"/>
      <c r="AG23" s="100"/>
      <c r="AH23" s="100"/>
      <c r="AI23" s="100"/>
      <c r="AJ23" s="100"/>
      <c r="AK23" s="100"/>
      <c r="AL23" s="1"/>
      <c r="AM23" s="1"/>
      <c r="AN23" s="1"/>
      <c r="AO23" s="1"/>
      <c r="AP23" s="1"/>
      <c r="AQ23" s="1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>
      <c r="A24" s="1373" t="s">
        <v>1041</v>
      </c>
      <c r="B24" s="1374"/>
      <c r="C24" s="1375"/>
      <c r="D24" s="1374"/>
      <c r="E24" s="1376"/>
      <c r="F24" s="358"/>
      <c r="G24" s="358"/>
      <c r="H24" s="358"/>
      <c r="I24" s="358"/>
      <c r="J24" s="1331">
        <v>5</v>
      </c>
      <c r="K24" s="1351">
        <v>100</v>
      </c>
      <c r="L24" s="1341"/>
      <c r="M24" s="1342">
        <f>K24</f>
        <v>100</v>
      </c>
      <c r="N24" s="1335">
        <f>N18</f>
        <v>12</v>
      </c>
      <c r="O24" s="1377">
        <f>2*K24+AC69</f>
        <v>470</v>
      </c>
      <c r="P24" s="1337">
        <f>AD68</f>
        <v>31</v>
      </c>
      <c r="Q24" s="1378">
        <f>O24*AD68*E25/1000</f>
        <v>14.57</v>
      </c>
      <c r="R24" s="1339">
        <f>+VLOOKUP(N24,CT,3,0)*Q24</f>
        <v>12.93816</v>
      </c>
      <c r="S24" s="1" t="s">
        <v>1042</v>
      </c>
      <c r="T24" s="11"/>
      <c r="W24" s="1"/>
      <c r="X24" s="1"/>
      <c r="Y24" s="1"/>
      <c r="Z24" s="1368">
        <v>95</v>
      </c>
      <c r="AA24" s="1369">
        <v>2</v>
      </c>
      <c r="AB24" s="1"/>
      <c r="AC24" s="1"/>
      <c r="AE24" s="151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>
      <c r="A25" s="1379" t="s">
        <v>1043</v>
      </c>
      <c r="B25" s="888"/>
      <c r="C25" s="1380"/>
      <c r="D25" s="888"/>
      <c r="E25" s="1381">
        <v>1</v>
      </c>
      <c r="G25" s="1"/>
      <c r="H25" s="1"/>
      <c r="I25" s="1"/>
      <c r="J25" s="143"/>
      <c r="K25" s="1382"/>
      <c r="L25" s="1341"/>
      <c r="M25" s="1383"/>
      <c r="N25" s="1343"/>
      <c r="O25" s="3"/>
      <c r="P25" s="1344"/>
      <c r="Q25" s="1345"/>
      <c r="R25" s="1346"/>
      <c r="S25" s="1"/>
      <c r="T25" s="11"/>
      <c r="W25" s="1"/>
      <c r="X25" s="1263"/>
      <c r="Y25" s="1263"/>
      <c r="Z25" s="1"/>
      <c r="AA25" s="1"/>
      <c r="AB25" s="1"/>
      <c r="AC25" s="1"/>
      <c r="AD25" s="1"/>
      <c r="AE25" s="1512">
        <f>B12+0.1-AE21</f>
        <v>0.60000000000000009</v>
      </c>
      <c r="AF25" s="1"/>
      <c r="AG25" s="1"/>
      <c r="AH25" s="1"/>
      <c r="AI25" s="1"/>
      <c r="AJ25" s="1"/>
      <c r="AK25" s="1"/>
      <c r="AL25"/>
      <c r="AM25" s="1"/>
      <c r="AN25" s="1"/>
      <c r="AO25" s="1"/>
      <c r="AP25" s="1"/>
      <c r="AQ25" s="1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>
      <c r="A26" s="1379" t="s">
        <v>1044</v>
      </c>
      <c r="B26" s="888"/>
      <c r="C26" s="1380"/>
      <c r="D26" s="888"/>
      <c r="E26" s="1384">
        <v>0.5</v>
      </c>
      <c r="G26" s="1"/>
      <c r="H26" s="1263"/>
      <c r="I26" s="1"/>
      <c r="J26" s="1331">
        <v>6</v>
      </c>
      <c r="K26" s="1385">
        <v>300</v>
      </c>
      <c r="L26" s="1386">
        <f>(B13+B12)*1000-C28-F28</f>
        <v>3400</v>
      </c>
      <c r="M26" s="1387"/>
      <c r="N26" s="1335">
        <f>E20</f>
        <v>20</v>
      </c>
      <c r="O26" s="1377">
        <f>L26+K26</f>
        <v>3700</v>
      </c>
      <c r="P26" s="1388" t="str">
        <f>C20&amp;"x4"</f>
        <v>8x4</v>
      </c>
      <c r="Q26" s="1378">
        <f>O26*C20*4/1000</f>
        <v>118.4</v>
      </c>
      <c r="R26" s="1339">
        <f>+VLOOKUP(N26,CT,3,0)*Q26</f>
        <v>292.44800000000004</v>
      </c>
      <c r="S26" s="1" t="s">
        <v>1045</v>
      </c>
      <c r="T26" s="11"/>
      <c r="V26" s="782"/>
      <c r="W26" s="1"/>
      <c r="X26" s="1263"/>
      <c r="Y26" s="1263"/>
      <c r="Z26" s="1"/>
      <c r="AA26" s="1"/>
      <c r="AB26" s="1"/>
      <c r="AC26" s="1"/>
      <c r="AD26" s="1"/>
      <c r="AE26" s="1513"/>
      <c r="AF26" s="3"/>
      <c r="AG26" s="3"/>
      <c r="AH26" s="1"/>
      <c r="AI26" s="1"/>
      <c r="AJ26" s="1"/>
      <c r="AK26" s="1"/>
      <c r="AL26"/>
      <c r="AM26" s="1"/>
      <c r="AN26" s="1"/>
      <c r="AO26" s="1"/>
      <c r="AP26" s="1"/>
      <c r="AQ26" s="1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ht="19.5" customHeight="1">
      <c r="A27" s="1379" t="s">
        <v>1046</v>
      </c>
      <c r="B27" s="1"/>
      <c r="C27" s="1"/>
      <c r="D27" s="1263"/>
      <c r="E27" s="1"/>
      <c r="F27" s="1"/>
      <c r="G27" s="1"/>
      <c r="H27" s="1"/>
      <c r="I27" s="1"/>
      <c r="J27" s="143"/>
      <c r="K27" s="1362"/>
      <c r="L27" s="1389">
        <v>60</v>
      </c>
      <c r="M27" s="1390"/>
      <c r="N27" s="885"/>
      <c r="O27" s="3"/>
      <c r="P27" s="1344"/>
      <c r="Q27" s="1345"/>
      <c r="R27" s="1346"/>
      <c r="S27" s="1"/>
      <c r="T27" s="11"/>
      <c r="W27" s="1"/>
      <c r="X27" s="1263"/>
      <c r="Y27" s="1263"/>
      <c r="Z27" s="1"/>
      <c r="AA27" s="6"/>
      <c r="AB27" s="1"/>
      <c r="AC27" s="1"/>
      <c r="AD27" s="100"/>
      <c r="AE27" s="1513"/>
      <c r="AF27"/>
      <c r="AG27"/>
      <c r="AH27"/>
      <c r="AI27"/>
      <c r="AJ27"/>
      <c r="AK27"/>
      <c r="AL27"/>
      <c r="AM27" s="1"/>
      <c r="AN27" s="1"/>
      <c r="AO27" s="1"/>
      <c r="AP27" s="1"/>
      <c r="AQ27" s="1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>
      <c r="A28" s="1287" t="s">
        <v>1047</v>
      </c>
      <c r="B28" s="1"/>
      <c r="C28" s="1391">
        <v>50</v>
      </c>
      <c r="D28" s="1" t="s">
        <v>1048</v>
      </c>
      <c r="E28" s="1"/>
      <c r="F28" s="1391">
        <v>50</v>
      </c>
      <c r="G28" s="1"/>
      <c r="H28" s="1"/>
      <c r="I28" s="1"/>
      <c r="J28" s="1331">
        <v>7</v>
      </c>
      <c r="K28" s="1392"/>
      <c r="L28" s="1393">
        <f>(D15*1000-2*F28)</f>
        <v>500</v>
      </c>
      <c r="M28" s="1394"/>
      <c r="N28" s="1335">
        <f>C22</f>
        <v>8</v>
      </c>
      <c r="O28" s="1377">
        <f>L28*4+2*L27</f>
        <v>2120</v>
      </c>
      <c r="P28" s="1337" t="str">
        <f>T28&amp;"x4"</f>
        <v>16x4</v>
      </c>
      <c r="Q28" s="1378">
        <f>O28*T28*4/1000</f>
        <v>135.68</v>
      </c>
      <c r="R28" s="1339">
        <f>+VLOOKUP(N28,CT,3,0)*Q28</f>
        <v>53.593600000000002</v>
      </c>
      <c r="S28" s="1" t="s">
        <v>1049</v>
      </c>
      <c r="T28" s="1395">
        <f>(CEILING(((B13+B12-B16)*1000-F28)/$E$18,1))</f>
        <v>16</v>
      </c>
      <c r="W28" s="1"/>
      <c r="X28" s="1263"/>
      <c r="Y28" s="1263"/>
      <c r="Z28" s="1"/>
      <c r="AA28" s="6"/>
      <c r="AB28" s="1"/>
      <c r="AC28" s="1"/>
      <c r="AD28"/>
      <c r="AE28"/>
      <c r="AF28"/>
      <c r="AH28" s="1396">
        <f>B10+0.6</f>
        <v>5.1999999999999993</v>
      </c>
      <c r="AI28"/>
      <c r="AJ28"/>
      <c r="AK28"/>
      <c r="AL28"/>
      <c r="AM28" s="1"/>
      <c r="AN28" s="1"/>
      <c r="AO28" s="1"/>
      <c r="AP28" s="1"/>
      <c r="AQ28" s="1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>
      <c r="A29" s="1397" t="s">
        <v>1050</v>
      </c>
      <c r="B29" s="1"/>
      <c r="C29" s="1" t="s">
        <v>996</v>
      </c>
      <c r="D29" s="1384">
        <v>0</v>
      </c>
      <c r="E29" s="1" t="s">
        <v>1000</v>
      </c>
      <c r="F29" s="1384">
        <v>0</v>
      </c>
      <c r="G29" s="1"/>
      <c r="H29" s="1"/>
      <c r="I29" s="1"/>
      <c r="J29" s="143"/>
      <c r="K29" s="1398"/>
      <c r="L29" s="1341"/>
      <c r="M29" s="1383"/>
      <c r="N29" s="1343"/>
      <c r="O29" s="3"/>
      <c r="P29" s="1399"/>
      <c r="Q29" s="1345"/>
      <c r="R29" s="1346"/>
      <c r="S29" s="1"/>
      <c r="T29" s="100"/>
      <c r="V29" s="1"/>
      <c r="W29" s="1"/>
      <c r="X29" s="1263"/>
      <c r="Y29" s="1263"/>
      <c r="Z29" s="1"/>
      <c r="AA29" s="1"/>
      <c r="AB29" s="1"/>
      <c r="AC29" s="1"/>
      <c r="AD29"/>
      <c r="AE29"/>
      <c r="AF29"/>
      <c r="AG29" s="1514">
        <f>AH28+0.6</f>
        <v>5.7999999999999989</v>
      </c>
      <c r="AH29" s="1515"/>
      <c r="AI29" s="1515"/>
      <c r="AJ29" s="1515"/>
      <c r="AK29"/>
      <c r="AL29"/>
      <c r="AM29" s="1"/>
      <c r="AN29" s="1"/>
      <c r="AO29" s="1"/>
      <c r="AP29" s="1"/>
      <c r="AQ29" s="1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ht="16" thickBot="1">
      <c r="A30" s="1400" t="s">
        <v>1051</v>
      </c>
      <c r="B30" s="1319"/>
      <c r="C30" s="1401" t="s">
        <v>75</v>
      </c>
      <c r="D30" s="1402">
        <v>1</v>
      </c>
      <c r="E30" s="1319" t="s">
        <v>1052</v>
      </c>
      <c r="F30" s="1403">
        <v>1</v>
      </c>
      <c r="G30" s="1319"/>
      <c r="H30" s="1404"/>
      <c r="I30" s="1319"/>
      <c r="J30" s="1331">
        <v>8</v>
      </c>
      <c r="K30" s="1405">
        <f>AL62</f>
        <v>270</v>
      </c>
      <c r="L30" s="1406">
        <v>60</v>
      </c>
      <c r="M30" s="1407"/>
      <c r="N30" s="1335">
        <f>C22</f>
        <v>8</v>
      </c>
      <c r="O30" s="1336">
        <f>(K30+L31)*4+2*L30</f>
        <v>1840</v>
      </c>
      <c r="P30" s="1337" t="str">
        <f>P28</f>
        <v>16x4</v>
      </c>
      <c r="Q30" s="1378">
        <f>O30*T30*4/1000</f>
        <v>117.76</v>
      </c>
      <c r="R30" s="1339">
        <f>+VLOOKUP(N30,CT,3,0)*Q30</f>
        <v>46.515200000000007</v>
      </c>
      <c r="S30" s="1" t="s">
        <v>1049</v>
      </c>
      <c r="T30" s="1395">
        <f>T28</f>
        <v>16</v>
      </c>
      <c r="W30" s="1"/>
      <c r="X30" s="1263"/>
      <c r="Y30" s="1263"/>
      <c r="Z30" s="1"/>
      <c r="AA30" s="1"/>
      <c r="AB30" s="1"/>
      <c r="AC30" s="1"/>
      <c r="AD30" s="100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ht="17.5">
      <c r="J31" s="143"/>
      <c r="K31" s="1408"/>
      <c r="L31" s="1409">
        <f>AM62</f>
        <v>160</v>
      </c>
      <c r="M31" s="1407"/>
      <c r="N31" s="1343"/>
      <c r="O31" s="3"/>
      <c r="P31" s="1344"/>
      <c r="Q31" s="1345"/>
      <c r="R31" s="1346"/>
      <c r="S31" s="1"/>
      <c r="T31" s="100"/>
      <c r="W31" s="1"/>
      <c r="X31" s="1263"/>
      <c r="Y31" s="1263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>
      <c r="E32" s="1410"/>
      <c r="G32" s="1411"/>
      <c r="I32" s="1"/>
      <c r="J32" s="1331">
        <v>9</v>
      </c>
      <c r="K32" s="1412">
        <f>M32</f>
        <v>60</v>
      </c>
      <c r="L32" s="1386">
        <f>L28</f>
        <v>500</v>
      </c>
      <c r="M32" s="1383">
        <v>60</v>
      </c>
      <c r="N32" s="1335">
        <f>C22</f>
        <v>8</v>
      </c>
      <c r="O32" s="1336">
        <f>L32+2*M32</f>
        <v>620</v>
      </c>
      <c r="P32" s="1337" t="str">
        <f>T32&amp;"x4"</f>
        <v>32x4</v>
      </c>
      <c r="Q32" s="1378">
        <f>O32*T32*4/1000</f>
        <v>79.36</v>
      </c>
      <c r="R32" s="1339">
        <f>+VLOOKUP(N32,CT,3,0)*Q32</f>
        <v>31.347200000000001</v>
      </c>
      <c r="S32" s="1" t="s">
        <v>1049</v>
      </c>
      <c r="T32" s="1395">
        <f>T30*D30*2</f>
        <v>32</v>
      </c>
      <c r="W32" s="1"/>
      <c r="X32" s="1263"/>
      <c r="Y32" s="1263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>
      <c r="A33" s="1316"/>
      <c r="B33" s="1413"/>
      <c r="C33" s="1414"/>
      <c r="D33" s="1415"/>
      <c r="E33" s="1316"/>
      <c r="F33" s="1316"/>
      <c r="G33" s="1316"/>
      <c r="H33" s="1316"/>
      <c r="I33" s="1316"/>
      <c r="J33" s="1416"/>
      <c r="K33" s="1417"/>
      <c r="L33" s="1418"/>
      <c r="M33" s="1387"/>
      <c r="N33" s="1419"/>
      <c r="O33" s="1420"/>
      <c r="P33" s="1421"/>
      <c r="Q33" s="1421"/>
      <c r="R33" s="1422"/>
      <c r="S33" s="11"/>
      <c r="T33" s="11"/>
      <c r="U33" s="100"/>
      <c r="W33" s="1"/>
      <c r="X33" s="1263"/>
      <c r="Y33" s="1263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ht="16" thickBot="1">
      <c r="J34" s="1423">
        <v>10</v>
      </c>
      <c r="K34" s="1424"/>
      <c r="L34" s="1425">
        <f>B15*1000-2*F28</f>
        <v>500</v>
      </c>
      <c r="M34" s="1426"/>
      <c r="N34" s="1427">
        <f>N32</f>
        <v>8</v>
      </c>
      <c r="O34" s="1428">
        <f>L34</f>
        <v>500</v>
      </c>
      <c r="P34" s="1428">
        <f>(ROUND(O34/100,0))*2*2*4</f>
        <v>80</v>
      </c>
      <c r="Q34" s="1429">
        <f>O34*P34/1000</f>
        <v>40</v>
      </c>
      <c r="R34" s="1430">
        <f>+VLOOKUP(N34,CT,3,0)*Q34</f>
        <v>15.8</v>
      </c>
      <c r="S34" s="1" t="s">
        <v>1053</v>
      </c>
      <c r="T34" s="1"/>
      <c r="W34" s="1"/>
      <c r="X34" s="1263"/>
      <c r="Y34" s="1263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ht="16" thickBot="1">
      <c r="A35" s="1"/>
      <c r="B35" s="1"/>
      <c r="C35" s="1"/>
      <c r="D35" s="1"/>
      <c r="E35" s="1"/>
      <c r="F35" s="1"/>
      <c r="G35" s="1"/>
      <c r="H35" s="1"/>
      <c r="I35" s="1"/>
      <c r="J35" s="382" t="s">
        <v>1054</v>
      </c>
      <c r="K35" s="1" t="s">
        <v>1055</v>
      </c>
      <c r="L35" s="1"/>
      <c r="M35" s="1"/>
      <c r="N35" s="1"/>
      <c r="O35" s="1290"/>
      <c r="P35" s="110" t="s">
        <v>1056</v>
      </c>
      <c r="Q35" s="1"/>
      <c r="R35" s="1431">
        <v>5</v>
      </c>
      <c r="S35" s="1" t="s">
        <v>1057</v>
      </c>
      <c r="V35" s="100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ht="16">
      <c r="A36" s="1"/>
      <c r="B36" s="1"/>
      <c r="C36" s="1"/>
      <c r="D36" s="1"/>
      <c r="E36" s="1"/>
      <c r="F36" s="1"/>
      <c r="G36" s="1"/>
      <c r="H36" s="1"/>
      <c r="I36" s="1"/>
      <c r="J36" s="1432" t="s">
        <v>930</v>
      </c>
      <c r="K36" s="1433">
        <v>8</v>
      </c>
      <c r="L36" s="1434">
        <v>10</v>
      </c>
      <c r="M36" s="1434">
        <f>N16</f>
        <v>12</v>
      </c>
      <c r="N36" s="1434">
        <v>20</v>
      </c>
      <c r="O36" s="1435">
        <v>25</v>
      </c>
      <c r="P36" s="382" t="s">
        <v>1058</v>
      </c>
      <c r="Q36" s="1" t="s">
        <v>1059</v>
      </c>
      <c r="R36" s="100">
        <f>(B10+B11)*2*B17</f>
        <v>3.9200000000000004</v>
      </c>
      <c r="S36" s="1" t="s">
        <v>1060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ht="16">
      <c r="A37" s="1"/>
      <c r="B37" s="1"/>
      <c r="C37" s="1"/>
      <c r="D37" s="1"/>
      <c r="E37" s="1"/>
      <c r="F37" s="1"/>
      <c r="G37" s="1"/>
      <c r="H37" s="1"/>
      <c r="I37" s="1"/>
      <c r="J37" s="1436" t="s">
        <v>1061</v>
      </c>
      <c r="K37" s="1437">
        <f>+(1+0.01*R35)*SUMIF($N$16:$N$34,K36,$Q$16:$Q$34)</f>
        <v>687.1305000000001</v>
      </c>
      <c r="L37" s="1438">
        <f>+(1+0.01*R35)*SUMIF($N$16:$N$34,L36,$Q$16:$Q$34)</f>
        <v>0</v>
      </c>
      <c r="M37" s="1438">
        <f>+(1+0.01*R35)*SUMIF($N$16:$N$34,M36,$Q$16:$Q$34)</f>
        <v>238.92750000000001</v>
      </c>
      <c r="N37" s="135">
        <f>+(1+0.01*R35)*SUMIF($N$16:$N$34,N36,$Q$16:$Q$34)</f>
        <v>124.32000000000001</v>
      </c>
      <c r="O37" s="1439">
        <f>+(1+0.01*R35)*SUMIF($N$16:$N$34,O36,$Q$16:$Q$34)</f>
        <v>0</v>
      </c>
      <c r="P37" s="1"/>
      <c r="Q37" s="1" t="s">
        <v>1062</v>
      </c>
      <c r="R37" s="390"/>
      <c r="S37" s="1" t="s">
        <v>1060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ht="16.5" thickBot="1">
      <c r="A38" s="1"/>
      <c r="B38" s="1"/>
      <c r="C38" s="1"/>
      <c r="D38" s="1"/>
      <c r="E38" s="1"/>
      <c r="F38" s="1"/>
      <c r="G38" s="1"/>
      <c r="H38" s="1"/>
      <c r="I38" s="1"/>
      <c r="J38" s="1440" t="s">
        <v>1063</v>
      </c>
      <c r="K38" s="1441">
        <f>+(1+0.01*R35)*SUMIF($N$16:$N$34,K36,$R$16:$R$34)</f>
        <v>271.41654750000004</v>
      </c>
      <c r="L38" s="1442">
        <f>+(1+0.01*R35)*SUMIF($N$16:$N$34,L36,$R$16:$R$34)</f>
        <v>0</v>
      </c>
      <c r="M38" s="1442">
        <f>+(1+0.01*R35)*SUMIF($N$16:$N$34,M36,$R$16:$R$34)</f>
        <v>212.16762000000003</v>
      </c>
      <c r="N38" s="1443">
        <f>+(1+0.01*R35)*SUMIF($N$16:$N$34,N36,$R$16:$R$34)</f>
        <v>307.07040000000006</v>
      </c>
      <c r="O38" s="1444">
        <f>+(1+0.01*R35)*SUMIF($N$16:$N$34,O36,$R$16:$R$34)</f>
        <v>0</v>
      </c>
      <c r="P38" s="1"/>
      <c r="Q38" s="1" t="s">
        <v>1064</v>
      </c>
      <c r="R38" s="100">
        <f>B15*4*(B12+B13-B16)*4</f>
        <v>29.759999999999998</v>
      </c>
      <c r="S38" s="1" t="s">
        <v>1060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ht="18">
      <c r="A44" s="1445" t="s">
        <v>1065</v>
      </c>
      <c r="B44" s="8"/>
      <c r="C44" s="8"/>
      <c r="D44" s="8"/>
      <c r="E44" s="8"/>
      <c r="F44" s="8"/>
      <c r="G44" s="8"/>
      <c r="H44" s="8"/>
      <c r="I44" s="8"/>
      <c r="J44" s="8"/>
      <c r="K44" s="1446"/>
      <c r="L44" s="100"/>
      <c r="M44" s="1445" t="s">
        <v>1066</v>
      </c>
      <c r="N44" s="8"/>
      <c r="O44" s="8"/>
      <c r="P44" s="8"/>
      <c r="Q44" s="8"/>
      <c r="R44" s="8"/>
      <c r="S44" s="8"/>
      <c r="T44" s="8"/>
      <c r="U44" s="8"/>
      <c r="V44" s="8"/>
      <c r="W44" s="1446"/>
      <c r="X44" s="1"/>
      <c r="Y44" s="1"/>
      <c r="Z44" s="1"/>
      <c r="AA44" s="1445" t="s">
        <v>1067</v>
      </c>
      <c r="AB44" s="1447"/>
      <c r="AC44" s="1447"/>
      <c r="AD44" s="8"/>
      <c r="AE44" s="8"/>
      <c r="AF44" s="8"/>
      <c r="AG44" s="8"/>
      <c r="AH44" s="1446"/>
      <c r="AI44" s="1"/>
      <c r="AJ44" s="1445" t="s">
        <v>1068</v>
      </c>
      <c r="AK44" s="8"/>
      <c r="AL44" s="8"/>
      <c r="AM44" s="8"/>
      <c r="AN44" s="8"/>
      <c r="AO44" s="8"/>
      <c r="AP44" s="8"/>
      <c r="AQ44" s="8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>
      <c r="A45" s="8"/>
      <c r="B45" s="8"/>
      <c r="C45" s="8"/>
      <c r="D45" s="8"/>
      <c r="E45" s="8"/>
      <c r="F45" s="8"/>
      <c r="G45" s="8"/>
      <c r="H45" s="8"/>
      <c r="I45" s="8"/>
      <c r="J45" s="8"/>
      <c r="K45" s="1446"/>
      <c r="L45" s="100"/>
      <c r="M45" s="8"/>
      <c r="N45" s="8"/>
      <c r="O45" s="8"/>
      <c r="P45" s="8"/>
      <c r="Q45" s="8"/>
      <c r="R45" s="8"/>
      <c r="S45" s="8"/>
      <c r="T45" s="8"/>
      <c r="U45" s="8"/>
      <c r="V45" s="8"/>
      <c r="W45" s="1446"/>
      <c r="X45" s="1"/>
      <c r="Y45" s="1"/>
      <c r="Z45" s="1"/>
      <c r="AA45" s="1446"/>
      <c r="AB45" s="1448"/>
      <c r="AC45" s="1448"/>
      <c r="AD45" s="8"/>
      <c r="AE45" s="8"/>
      <c r="AF45" s="8"/>
      <c r="AG45" s="8"/>
      <c r="AH45" s="1446"/>
      <c r="AI45" s="1"/>
      <c r="AJ45" s="8"/>
      <c r="AK45" s="8"/>
      <c r="AL45" s="8"/>
      <c r="AM45" s="8"/>
      <c r="AN45" s="8"/>
      <c r="AO45" s="8"/>
      <c r="AP45" s="8"/>
      <c r="AQ45" s="8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>
      <c r="A46" s="8"/>
      <c r="B46" s="8"/>
      <c r="C46" s="8"/>
      <c r="D46" s="8"/>
      <c r="E46" s="8"/>
      <c r="F46" s="8"/>
      <c r="G46" s="8"/>
      <c r="H46" s="8"/>
      <c r="I46" s="8"/>
      <c r="J46" s="8"/>
      <c r="K46" s="1446"/>
      <c r="L46" s="100"/>
      <c r="M46" s="8"/>
      <c r="N46" s="8"/>
      <c r="O46" s="8"/>
      <c r="P46" s="8"/>
      <c r="Q46" s="8"/>
      <c r="R46" s="8"/>
      <c r="S46" s="8"/>
      <c r="T46" s="8"/>
      <c r="U46" s="8"/>
      <c r="V46" s="8"/>
      <c r="W46" s="1446"/>
      <c r="X46" s="1"/>
      <c r="Y46" s="1"/>
      <c r="Z46" s="1"/>
      <c r="AA46" s="1446"/>
      <c r="AB46" s="1449" t="s">
        <v>1069</v>
      </c>
      <c r="AC46" s="1450">
        <f>C19</f>
        <v>12</v>
      </c>
      <c r="AD46" s="8" t="s">
        <v>1030</v>
      </c>
      <c r="AE46" s="916">
        <f>E19</f>
        <v>600</v>
      </c>
      <c r="AF46" s="8"/>
      <c r="AG46" s="8"/>
      <c r="AH46" s="1446"/>
      <c r="AI46" s="1"/>
      <c r="AJ46" s="8"/>
      <c r="AK46" s="8"/>
      <c r="AL46" s="8"/>
      <c r="AM46" s="8"/>
      <c r="AN46" s="8"/>
      <c r="AO46" s="8"/>
      <c r="AP46" s="8"/>
      <c r="AQ46" s="8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>
      <c r="A47" s="8"/>
      <c r="B47" s="8"/>
      <c r="C47" s="8"/>
      <c r="D47" s="8"/>
      <c r="E47" s="8"/>
      <c r="F47" s="8"/>
      <c r="G47" s="8"/>
      <c r="H47" s="8"/>
      <c r="I47" s="8"/>
      <c r="J47" s="8"/>
      <c r="K47" s="1446"/>
      <c r="L47" s="100"/>
      <c r="M47" s="8"/>
      <c r="N47" s="8"/>
      <c r="O47" s="8"/>
      <c r="P47" s="8"/>
      <c r="Q47" s="8"/>
      <c r="R47" s="8"/>
      <c r="S47" s="8"/>
      <c r="T47" s="8"/>
      <c r="U47" s="8"/>
      <c r="V47" s="8"/>
      <c r="W47" s="1446"/>
      <c r="X47" s="1"/>
      <c r="Y47" s="1"/>
      <c r="Z47" s="1"/>
      <c r="AA47" s="1446"/>
      <c r="AB47" s="1449" t="s">
        <v>1070</v>
      </c>
      <c r="AC47" s="1451">
        <f>FLOOR((B59*1000)/$AE$46,1)</f>
        <v>0</v>
      </c>
      <c r="AD47" s="8" t="s">
        <v>1071</v>
      </c>
      <c r="AE47" s="8"/>
      <c r="AF47" s="8"/>
      <c r="AG47" s="8"/>
      <c r="AH47" s="1446"/>
      <c r="AI47" s="1"/>
      <c r="AJ47" s="8"/>
      <c r="AK47" s="8"/>
      <c r="AL47" s="1452"/>
      <c r="AM47" s="8"/>
      <c r="AN47" s="8"/>
      <c r="AO47" s="8"/>
      <c r="AP47" s="8"/>
      <c r="AQ47" s="8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>
      <c r="A48" s="8"/>
      <c r="B48" s="8"/>
      <c r="C48" s="8"/>
      <c r="D48" s="8"/>
      <c r="E48" s="8"/>
      <c r="F48" s="8"/>
      <c r="G48" s="8"/>
      <c r="H48" s="8"/>
      <c r="I48" s="8"/>
      <c r="J48" s="8"/>
      <c r="K48" s="1446"/>
      <c r="L48" s="100"/>
      <c r="M48" s="8"/>
      <c r="N48" s="8"/>
      <c r="O48" s="8"/>
      <c r="P48" s="8"/>
      <c r="Q48" s="8"/>
      <c r="R48" s="8"/>
      <c r="S48" s="8"/>
      <c r="T48" s="8"/>
      <c r="U48" s="8"/>
      <c r="V48" s="8"/>
      <c r="W48" s="1446"/>
      <c r="X48" s="1"/>
      <c r="Y48" s="1"/>
      <c r="Z48" s="1"/>
      <c r="AA48" s="1453"/>
      <c r="AB48" s="1516" t="s">
        <v>1072</v>
      </c>
      <c r="AC48" s="1454">
        <v>1</v>
      </c>
      <c r="AD48" s="1454">
        <f>IF(AC48="","",CEILING(($B$10*1000-2*AC48*$AE$46)/$AE$46,1))+1</f>
        <v>7</v>
      </c>
      <c r="AE48" s="83" t="str">
        <f>IF(AC48="","", "cây")</f>
        <v>cây</v>
      </c>
      <c r="AF48" s="1455"/>
      <c r="AG48" s="1455"/>
      <c r="AH48" s="1453"/>
      <c r="AI48" s="1"/>
      <c r="AJ48" s="8"/>
      <c r="AK48" s="8"/>
      <c r="AL48" s="1452"/>
      <c r="AM48" s="8"/>
      <c r="AN48" s="8"/>
      <c r="AO48" s="8"/>
      <c r="AP48" s="8"/>
      <c r="AQ48" s="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</row>
    <row r="49" spans="1:59">
      <c r="A49" s="8"/>
      <c r="B49" s="8"/>
      <c r="C49" s="8"/>
      <c r="D49" s="8"/>
      <c r="E49" s="8"/>
      <c r="F49" s="8"/>
      <c r="G49" s="8"/>
      <c r="H49" s="8"/>
      <c r="I49" s="8"/>
      <c r="J49" s="8"/>
      <c r="K49" s="1446"/>
      <c r="L49" s="100"/>
      <c r="M49" s="8"/>
      <c r="N49" s="8"/>
      <c r="O49" s="8"/>
      <c r="P49" s="8"/>
      <c r="Q49" s="8"/>
      <c r="R49" s="8"/>
      <c r="S49" s="8"/>
      <c r="T49" s="8"/>
      <c r="U49" s="8"/>
      <c r="V49" s="8"/>
      <c r="W49" s="1446"/>
      <c r="X49" s="1"/>
      <c r="Y49" s="1"/>
      <c r="Z49" s="1"/>
      <c r="AA49" s="1446"/>
      <c r="AB49" s="1516"/>
      <c r="AC49" s="1454" t="str">
        <f>IF(AC48&lt;$AC$47,1+AC48,"")</f>
        <v/>
      </c>
      <c r="AD49" s="1454" t="e">
        <f>IF(AC49="","",CEILING(($B$10*1000-2*AC49*$AE$46)/$AE$46,1))+1</f>
        <v>#VALUE!</v>
      </c>
      <c r="AE49" s="83" t="str">
        <f>IF(AC49="","", "cây")</f>
        <v/>
      </c>
      <c r="AF49" s="1455"/>
      <c r="AG49" s="1455"/>
      <c r="AH49" s="1453"/>
      <c r="AI49" s="1"/>
      <c r="AJ49" s="8"/>
      <c r="AK49" s="8"/>
      <c r="AL49" s="1452"/>
      <c r="AM49" s="8"/>
      <c r="AN49" s="8"/>
      <c r="AO49" s="1453"/>
      <c r="AP49" s="1453"/>
      <c r="AQ49" s="1455">
        <f>L30</f>
        <v>60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:59">
      <c r="A50" s="8"/>
      <c r="B50" s="8"/>
      <c r="C50" s="8"/>
      <c r="D50" s="8"/>
      <c r="E50" s="8"/>
      <c r="F50" s="8"/>
      <c r="G50" s="8"/>
      <c r="H50" s="8"/>
      <c r="I50" s="8"/>
      <c r="J50" s="8"/>
      <c r="K50" s="1446"/>
      <c r="L50" s="100"/>
      <c r="M50" s="8"/>
      <c r="N50" s="8"/>
      <c r="O50" s="8"/>
      <c r="P50" s="8"/>
      <c r="Q50" s="8"/>
      <c r="R50" s="8"/>
      <c r="S50" s="8"/>
      <c r="T50" s="8"/>
      <c r="U50" s="8"/>
      <c r="V50" s="8"/>
      <c r="W50" s="1446"/>
      <c r="X50" s="1"/>
      <c r="Y50" s="1"/>
      <c r="Z50" s="1"/>
      <c r="AA50" s="1446"/>
      <c r="AB50" s="1516"/>
      <c r="AC50" s="1454" t="str">
        <f>IF(AC49&lt;$AC$47,1+AC49,"")</f>
        <v/>
      </c>
      <c r="AD50" s="1454" t="str">
        <f>IF(AC50="","",CEILING(($B$10*1000-2*AC50*$AE$46)/$AE$46,1))</f>
        <v/>
      </c>
      <c r="AE50" s="83" t="str">
        <f>IF(AC50="","", "cây")</f>
        <v/>
      </c>
      <c r="AF50" s="1455"/>
      <c r="AG50" s="1455"/>
      <c r="AH50" s="1453"/>
      <c r="AI50" s="1"/>
      <c r="AJ50" s="8"/>
      <c r="AK50" s="8"/>
      <c r="AL50" s="1452"/>
      <c r="AM50" s="8"/>
      <c r="AN50" s="8"/>
      <c r="AO50" s="8"/>
      <c r="AP50" s="8"/>
      <c r="AQ50" s="8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:59">
      <c r="A51" s="8"/>
      <c r="B51" s="8"/>
      <c r="C51" s="1517"/>
      <c r="D51" s="1517"/>
      <c r="E51" s="8"/>
      <c r="F51" s="8"/>
      <c r="G51" s="8"/>
      <c r="H51" s="8"/>
      <c r="I51" s="8"/>
      <c r="J51" s="8"/>
      <c r="K51" s="1446"/>
      <c r="L51" s="100"/>
      <c r="M51" s="8"/>
      <c r="N51" s="8"/>
      <c r="O51" s="1517"/>
      <c r="P51" s="1517"/>
      <c r="Q51" s="8"/>
      <c r="R51" s="8"/>
      <c r="S51" s="8"/>
      <c r="T51" s="8"/>
      <c r="U51" s="8"/>
      <c r="V51" s="8"/>
      <c r="W51" s="1446"/>
      <c r="X51" s="1"/>
      <c r="Y51" s="1"/>
      <c r="Z51" s="1"/>
      <c r="AA51" s="1453"/>
      <c r="AB51" s="1516"/>
      <c r="AC51" s="1454" t="str">
        <f>IF(AC50&lt;$AC$47,1+AC50,"")</f>
        <v/>
      </c>
      <c r="AD51" s="1454" t="str">
        <f>IF(AC51="","",CEILING(($B$10*1000-2*AC51*$AE$46)/$AE$46,1))</f>
        <v/>
      </c>
      <c r="AE51" s="83" t="str">
        <f>IF(AC51="","", "cây")</f>
        <v/>
      </c>
      <c r="AF51" s="1455"/>
      <c r="AG51" s="1455"/>
      <c r="AH51" s="1446"/>
      <c r="AI51" s="1"/>
      <c r="AJ51" s="8" t="s">
        <v>1073</v>
      </c>
      <c r="AK51" s="8"/>
      <c r="AL51" s="1452">
        <v>2</v>
      </c>
      <c r="AM51" s="8" t="s">
        <v>1074</v>
      </c>
      <c r="AN51" s="8"/>
      <c r="AO51" s="1456"/>
      <c r="AP51" s="8"/>
      <c r="AQ51" s="8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</row>
    <row r="52" spans="1:59">
      <c r="A52" s="8"/>
      <c r="B52" s="1453"/>
      <c r="C52" s="1453"/>
      <c r="D52" s="1453"/>
      <c r="E52" s="1453"/>
      <c r="F52" s="1453"/>
      <c r="G52" s="8"/>
      <c r="H52" s="8"/>
      <c r="I52" s="8"/>
      <c r="J52" s="8"/>
      <c r="K52" s="1446"/>
      <c r="L52" s="100"/>
      <c r="M52" s="8"/>
      <c r="N52" s="1453"/>
      <c r="O52" s="1453"/>
      <c r="P52" s="1453"/>
      <c r="Q52" s="1453"/>
      <c r="R52" s="1453"/>
      <c r="S52" s="8"/>
      <c r="T52" s="8"/>
      <c r="U52" s="8"/>
      <c r="V52" s="8"/>
      <c r="W52" s="1446"/>
      <c r="X52" s="1"/>
      <c r="Y52" s="1"/>
      <c r="Z52" s="1"/>
      <c r="AA52" s="1453"/>
      <c r="AB52" s="1516"/>
      <c r="AC52" s="1454" t="str">
        <f>IF(AC51&lt;$AC$47,1+AC51,"")</f>
        <v/>
      </c>
      <c r="AD52" s="1454" t="str">
        <f>IF(AC52="","",CEILING(($B$10*1000-2*AC52*$AE$46)/$AE$46,1))</f>
        <v/>
      </c>
      <c r="AE52" s="83" t="str">
        <f>IF(AC52="","", "cây")</f>
        <v/>
      </c>
      <c r="AF52" s="1455"/>
      <c r="AG52" s="1455"/>
      <c r="AH52" s="1446"/>
      <c r="AI52" s="1"/>
      <c r="AJ52" s="8" t="s">
        <v>1075</v>
      </c>
      <c r="AK52" s="8"/>
      <c r="AL52" s="916"/>
      <c r="AM52" s="8">
        <f>C20/4</f>
        <v>2</v>
      </c>
      <c r="AN52" s="8" t="s">
        <v>1076</v>
      </c>
      <c r="AO52" s="919" t="s">
        <v>1077</v>
      </c>
      <c r="AP52" s="8"/>
      <c r="AQ52" s="8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  <row r="53" spans="1:59">
      <c r="A53" s="8"/>
      <c r="B53" s="115"/>
      <c r="C53" s="1518"/>
      <c r="D53" s="1518"/>
      <c r="E53" s="8"/>
      <c r="F53" s="8"/>
      <c r="G53" s="8"/>
      <c r="H53" s="8"/>
      <c r="I53" s="8"/>
      <c r="J53" s="8"/>
      <c r="K53" s="1446"/>
      <c r="L53" s="100"/>
      <c r="M53" s="8"/>
      <c r="N53" s="115"/>
      <c r="O53" s="1518"/>
      <c r="P53" s="1518"/>
      <c r="Q53" s="8"/>
      <c r="R53" s="8"/>
      <c r="S53" s="8"/>
      <c r="T53" s="8"/>
      <c r="U53" s="8"/>
      <c r="V53" s="8"/>
      <c r="W53" s="1446"/>
      <c r="X53" s="1"/>
      <c r="Y53" s="1"/>
      <c r="Z53" s="1"/>
      <c r="AA53" s="1446"/>
      <c r="AB53" s="1449" t="s">
        <v>1078</v>
      </c>
      <c r="AC53" s="1457">
        <f>FLOOR((B60*1000)/$AE$46,1)</f>
        <v>5</v>
      </c>
      <c r="AD53" s="8" t="s">
        <v>1071</v>
      </c>
      <c r="AE53" s="8"/>
      <c r="AF53" s="8"/>
      <c r="AG53" s="8"/>
      <c r="AH53" s="1446"/>
      <c r="AI53" s="1"/>
      <c r="AJ53" s="8" t="s">
        <v>1079</v>
      </c>
      <c r="AK53" s="8"/>
      <c r="AL53" s="916"/>
      <c r="AM53" s="1451">
        <f>(B15*1000-2*F28)/AM52</f>
        <v>250</v>
      </c>
      <c r="AN53" s="916" t="s">
        <v>499</v>
      </c>
      <c r="AO53" s="1453"/>
      <c r="AP53" s="1455" t="s">
        <v>1080</v>
      </c>
      <c r="AQ53" s="8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</row>
    <row r="54" spans="1:59">
      <c r="A54" s="8"/>
      <c r="B54" s="8"/>
      <c r="C54" s="8"/>
      <c r="D54" s="8"/>
      <c r="E54" s="8"/>
      <c r="F54" s="8"/>
      <c r="G54" s="8"/>
      <c r="H54" s="1455" t="s">
        <v>403</v>
      </c>
      <c r="I54" s="8"/>
      <c r="J54" s="8"/>
      <c r="K54" s="1446"/>
      <c r="L54" s="100"/>
      <c r="M54" s="8"/>
      <c r="N54" s="8"/>
      <c r="O54" s="8"/>
      <c r="P54" s="8"/>
      <c r="Q54" s="8"/>
      <c r="R54" s="8"/>
      <c r="S54" s="8"/>
      <c r="T54" s="1455" t="s">
        <v>403</v>
      </c>
      <c r="U54" s="8"/>
      <c r="V54" s="8"/>
      <c r="W54" s="1446"/>
      <c r="X54" s="1"/>
      <c r="Y54" s="1"/>
      <c r="Z54" s="1"/>
      <c r="AA54" s="1453"/>
      <c r="AB54" s="1446"/>
      <c r="AC54" s="1519">
        <f>AC53^2-1*0</f>
        <v>25</v>
      </c>
      <c r="AD54" s="1519"/>
      <c r="AE54" s="8" t="s">
        <v>1074</v>
      </c>
      <c r="AF54" s="8"/>
      <c r="AG54" s="1455"/>
      <c r="AH54" s="1446"/>
      <c r="AI54" s="1"/>
      <c r="AJ54" s="8" t="s">
        <v>1081</v>
      </c>
      <c r="AK54" s="8"/>
      <c r="AL54" s="916"/>
      <c r="AM54" s="1451">
        <f>AM53</f>
        <v>250</v>
      </c>
      <c r="AN54" s="916" t="s">
        <v>499</v>
      </c>
      <c r="AO54" s="1453"/>
      <c r="AP54" s="1453"/>
      <c r="AQ54" s="8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 ht="17">
      <c r="A55" s="1455"/>
      <c r="B55" s="8"/>
      <c r="C55" s="1455"/>
      <c r="D55" s="919"/>
      <c r="E55" s="8"/>
      <c r="F55" s="919"/>
      <c r="G55" s="1458" t="s">
        <v>1082</v>
      </c>
      <c r="H55" s="8"/>
      <c r="I55" s="8"/>
      <c r="J55" s="8"/>
      <c r="K55" s="8"/>
      <c r="L55" s="1"/>
      <c r="M55" s="1455"/>
      <c r="N55" s="8"/>
      <c r="O55" s="1455"/>
      <c r="P55" s="919"/>
      <c r="Q55" s="8"/>
      <c r="R55" s="919"/>
      <c r="S55" s="1458" t="s">
        <v>1082</v>
      </c>
      <c r="T55" s="8"/>
      <c r="U55" s="8"/>
      <c r="V55" s="8"/>
      <c r="W55" s="8"/>
      <c r="X55" s="1"/>
      <c r="Y55" s="1"/>
      <c r="Z55" s="1"/>
      <c r="AA55" s="8"/>
      <c r="AB55" s="1459" t="s">
        <v>990</v>
      </c>
      <c r="AC55" s="1505">
        <f>SUM(AD62:AD66)+AD67</f>
        <v>31</v>
      </c>
      <c r="AD55" s="1505"/>
      <c r="AE55" s="83" t="s">
        <v>1074</v>
      </c>
      <c r="AF55" s="8"/>
      <c r="AG55" s="8"/>
      <c r="AH55" s="8"/>
      <c r="AI55" s="1"/>
      <c r="AJ55" s="1453"/>
      <c r="AK55" s="919" t="s">
        <v>1083</v>
      </c>
      <c r="AL55" s="1455" t="s">
        <v>6</v>
      </c>
      <c r="AM55" s="1451">
        <f>$B$15*1000</f>
        <v>600</v>
      </c>
      <c r="AN55" s="8" t="s">
        <v>499</v>
      </c>
      <c r="AO55" s="1453"/>
      <c r="AP55" s="8"/>
      <c r="AQ55" s="1453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  <row r="56" spans="1:59">
      <c r="A56" s="1453"/>
      <c r="B56" s="8"/>
      <c r="C56" s="8"/>
      <c r="D56" s="919"/>
      <c r="E56" s="919"/>
      <c r="F56" s="919" t="s">
        <v>1084</v>
      </c>
      <c r="G56" s="8"/>
      <c r="H56" s="8"/>
      <c r="I56" s="8"/>
      <c r="J56" s="1455" t="s">
        <v>1084</v>
      </c>
      <c r="K56" s="1460"/>
      <c r="L56" s="1263"/>
      <c r="M56" s="1453"/>
      <c r="N56" s="8"/>
      <c r="O56" s="8"/>
      <c r="P56" s="919"/>
      <c r="Q56" s="919"/>
      <c r="R56" s="919" t="s">
        <v>1084</v>
      </c>
      <c r="S56" s="8"/>
      <c r="T56" s="8"/>
      <c r="U56" s="8"/>
      <c r="V56" s="1455" t="s">
        <v>1084</v>
      </c>
      <c r="W56" s="1460"/>
      <c r="X56" s="1"/>
      <c r="Y56" s="1"/>
      <c r="Z56" s="1"/>
      <c r="AA56" s="1453"/>
      <c r="AB56" s="1459"/>
      <c r="AC56" s="1505"/>
      <c r="AD56" s="1505"/>
      <c r="AE56" s="83"/>
      <c r="AF56" s="1453"/>
      <c r="AG56" s="1453"/>
      <c r="AH56" s="1453"/>
      <c r="AI56" s="1"/>
      <c r="AJ56" s="1453"/>
      <c r="AK56" s="919" t="s">
        <v>1085</v>
      </c>
      <c r="AL56" s="1455" t="s">
        <v>6</v>
      </c>
      <c r="AM56" s="1451">
        <f>$D$15*1000</f>
        <v>600</v>
      </c>
      <c r="AN56" s="8" t="s">
        <v>499</v>
      </c>
      <c r="AO56" s="1453"/>
      <c r="AP56" s="8"/>
      <c r="AQ56" s="1453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:59">
      <c r="A57" s="8" t="s">
        <v>1086</v>
      </c>
      <c r="B57" s="8"/>
      <c r="C57" s="8"/>
      <c r="D57" s="1520">
        <f>B16</f>
        <v>0.4</v>
      </c>
      <c r="E57" s="1520"/>
      <c r="F57" s="8" t="s">
        <v>267</v>
      </c>
      <c r="G57" s="8" t="s">
        <v>1087</v>
      </c>
      <c r="H57" s="8"/>
      <c r="I57" s="8"/>
      <c r="J57" s="8">
        <f>B10*1000</f>
        <v>4600</v>
      </c>
      <c r="K57" s="8" t="s">
        <v>499</v>
      </c>
      <c r="L57" s="1"/>
      <c r="M57" s="8" t="s">
        <v>1086</v>
      </c>
      <c r="N57" s="8"/>
      <c r="O57" s="8"/>
      <c r="P57" s="1520">
        <f>D57</f>
        <v>0.4</v>
      </c>
      <c r="Q57" s="1520"/>
      <c r="R57" s="8" t="s">
        <v>267</v>
      </c>
      <c r="S57" s="8" t="s">
        <v>1087</v>
      </c>
      <c r="T57" s="8"/>
      <c r="U57" s="8"/>
      <c r="V57" s="8">
        <f>B11*1000</f>
        <v>5200</v>
      </c>
      <c r="W57" s="8" t="s">
        <v>499</v>
      </c>
      <c r="X57" s="1"/>
      <c r="Y57" s="1"/>
      <c r="Z57" s="1"/>
      <c r="AA57" s="8"/>
      <c r="AB57" s="1453"/>
      <c r="AC57" s="1453"/>
      <c r="AD57" s="1453"/>
      <c r="AE57" s="1453"/>
      <c r="AF57" s="1453"/>
      <c r="AG57" s="1453"/>
      <c r="AH57" s="1453"/>
      <c r="AI57" s="1"/>
      <c r="AJ57" s="8"/>
      <c r="AK57" s="8" t="s">
        <v>1088</v>
      </c>
      <c r="AL57" s="1455" t="s">
        <v>6</v>
      </c>
      <c r="AM57" s="919">
        <f>$F$28</f>
        <v>50</v>
      </c>
      <c r="AN57" s="8" t="s">
        <v>499</v>
      </c>
      <c r="AO57" s="8"/>
      <c r="AP57" s="8"/>
      <c r="AQ57" s="1453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>
      <c r="A58" s="8" t="s">
        <v>1089</v>
      </c>
      <c r="B58" s="8"/>
      <c r="C58" s="8"/>
      <c r="D58" s="1520">
        <f>B17</f>
        <v>0.2</v>
      </c>
      <c r="E58" s="1520"/>
      <c r="F58" s="8" t="s">
        <v>267</v>
      </c>
      <c r="G58" s="8"/>
      <c r="H58" s="8"/>
      <c r="I58" s="8"/>
      <c r="J58" s="8"/>
      <c r="K58" s="8"/>
      <c r="L58" s="1"/>
      <c r="M58" s="8" t="s">
        <v>1089</v>
      </c>
      <c r="N58" s="8"/>
      <c r="O58" s="8"/>
      <c r="P58" s="1520">
        <f>D58</f>
        <v>0.2</v>
      </c>
      <c r="Q58" s="1520"/>
      <c r="R58" s="8" t="s">
        <v>267</v>
      </c>
      <c r="S58" s="8"/>
      <c r="T58" s="8"/>
      <c r="U58" s="8"/>
      <c r="V58" s="8"/>
      <c r="W58" s="8"/>
      <c r="X58" s="1"/>
      <c r="Y58" s="1"/>
      <c r="Z58" s="1"/>
      <c r="AA58" s="1521">
        <f>K24</f>
        <v>100</v>
      </c>
      <c r="AB58" s="1521"/>
      <c r="AC58" s="916"/>
      <c r="AD58" s="1461" t="s">
        <v>1090</v>
      </c>
      <c r="AE58" s="8">
        <f>AA58</f>
        <v>100</v>
      </c>
      <c r="AF58" s="1462"/>
      <c r="AG58" s="1453"/>
      <c r="AH58" s="1453"/>
      <c r="AI58" s="1"/>
      <c r="AJ58" s="8" t="s">
        <v>1091</v>
      </c>
      <c r="AK58" s="8"/>
      <c r="AL58" s="8"/>
      <c r="AM58" s="1451">
        <f>($B$12+$B$13-$B$16)*1000</f>
        <v>3100</v>
      </c>
      <c r="AN58" s="8" t="s">
        <v>499</v>
      </c>
      <c r="AO58" s="8"/>
      <c r="AP58" s="8"/>
      <c r="AQ58" s="1453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:59" ht="16">
      <c r="A59" s="8" t="s">
        <v>1092</v>
      </c>
      <c r="B59" s="8">
        <f>(B10-(B14+B15+0.2))/2</f>
        <v>0.59999999999999964</v>
      </c>
      <c r="C59" s="8" t="s">
        <v>267</v>
      </c>
      <c r="D59" s="8" t="s">
        <v>6</v>
      </c>
      <c r="E59" s="1451">
        <f>CEILING(B59*1000/$E$18,1)</f>
        <v>3</v>
      </c>
      <c r="F59" s="8" t="s">
        <v>1093</v>
      </c>
      <c r="G59" s="8"/>
      <c r="H59" s="8"/>
      <c r="I59" s="8"/>
      <c r="J59" s="8"/>
      <c r="K59" s="8"/>
      <c r="L59" s="1"/>
      <c r="M59" s="8" t="s">
        <v>1094</v>
      </c>
      <c r="N59" s="8">
        <f>(B11-(B14+B15+0.2))/2</f>
        <v>0.89999999999999991</v>
      </c>
      <c r="O59" s="8" t="s">
        <v>267</v>
      </c>
      <c r="P59" s="8" t="s">
        <v>6</v>
      </c>
      <c r="Q59" s="1451">
        <f>CEILING(N59*1000/$E$18,1)</f>
        <v>5</v>
      </c>
      <c r="R59" s="8" t="s">
        <v>1093</v>
      </c>
      <c r="S59" s="8"/>
      <c r="T59" s="8"/>
      <c r="U59" s="8"/>
      <c r="V59" s="8"/>
      <c r="W59" s="8"/>
      <c r="X59" s="1"/>
      <c r="Y59" s="1"/>
      <c r="Z59" s="1"/>
      <c r="AA59" s="8"/>
      <c r="AB59" s="8"/>
      <c r="AC59" s="8"/>
      <c r="AD59" s="1453"/>
      <c r="AE59" s="1453"/>
      <c r="AF59" s="1453"/>
      <c r="AG59" s="1453"/>
      <c r="AH59" s="1453"/>
      <c r="AI59" s="1"/>
      <c r="AJ59" s="8"/>
      <c r="AK59" s="919" t="s">
        <v>1095</v>
      </c>
      <c r="AL59" s="1463">
        <v>200</v>
      </c>
      <c r="AM59" s="1464">
        <f>AM58</f>
        <v>3100</v>
      </c>
      <c r="AN59" s="8" t="s">
        <v>1096</v>
      </c>
      <c r="AO59" s="8">
        <f>ROUND((AM59)/AL59,0)</f>
        <v>16</v>
      </c>
      <c r="AP59" s="8" t="s">
        <v>1093</v>
      </c>
      <c r="AQ59" s="1453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:59" ht="16">
      <c r="A60" s="8" t="s">
        <v>1097</v>
      </c>
      <c r="B60" s="1446">
        <f>B14+D15+0.2</f>
        <v>3.4000000000000004</v>
      </c>
      <c r="C60" s="8" t="s">
        <v>267</v>
      </c>
      <c r="D60" s="8" t="s">
        <v>6</v>
      </c>
      <c r="E60" s="1451">
        <f>CEILING(B60*1000/$E$18,1)</f>
        <v>17</v>
      </c>
      <c r="F60" s="8" t="s">
        <v>1093</v>
      </c>
      <c r="G60" s="1465" t="s">
        <v>1098</v>
      </c>
      <c r="H60" s="1466">
        <f>(E60+2*E59)</f>
        <v>23</v>
      </c>
      <c r="I60" s="1466" t="s">
        <v>1093</v>
      </c>
      <c r="J60" s="83"/>
      <c r="K60" s="8"/>
      <c r="L60" s="1"/>
      <c r="M60" s="8" t="s">
        <v>1099</v>
      </c>
      <c r="N60" s="1446">
        <f>B14+D15+0.2</f>
        <v>3.4000000000000004</v>
      </c>
      <c r="O60" s="8" t="s">
        <v>267</v>
      </c>
      <c r="P60" s="8" t="s">
        <v>6</v>
      </c>
      <c r="Q60" s="1451">
        <f>CEILING(N60*1000/$E$18,1)</f>
        <v>17</v>
      </c>
      <c r="R60" s="8" t="s">
        <v>1093</v>
      </c>
      <c r="S60" s="1465" t="s">
        <v>1098</v>
      </c>
      <c r="T60" s="1466">
        <f>(Q60+2*Q59)</f>
        <v>27</v>
      </c>
      <c r="U60" s="1466" t="s">
        <v>1093</v>
      </c>
      <c r="V60" s="83"/>
      <c r="W60" s="8"/>
      <c r="X60" s="1"/>
      <c r="Y60" s="1"/>
      <c r="Z60" s="1"/>
      <c r="AA60" s="8"/>
      <c r="AB60" s="8"/>
      <c r="AC60" s="8"/>
      <c r="AD60" s="8"/>
      <c r="AE60" s="8"/>
      <c r="AF60" s="1453"/>
      <c r="AG60" s="1453"/>
      <c r="AH60" s="1453"/>
      <c r="AI60" s="1"/>
      <c r="AJ60" s="8"/>
      <c r="AK60" s="919" t="s">
        <v>1095</v>
      </c>
      <c r="AL60" s="1463">
        <v>200</v>
      </c>
      <c r="AM60" s="1451">
        <f>AM58-AM59</f>
        <v>0</v>
      </c>
      <c r="AN60" s="8" t="s">
        <v>1096</v>
      </c>
      <c r="AO60" s="8">
        <f>ROUND((AM60)/AL60,0)</f>
        <v>0</v>
      </c>
      <c r="AP60" s="8" t="s">
        <v>1093</v>
      </c>
      <c r="AQ60" s="1453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:59">
      <c r="A61" s="1467" t="s">
        <v>1100</v>
      </c>
      <c r="B61" s="1468" t="s">
        <v>1101</v>
      </c>
      <c r="C61" s="1468" t="s">
        <v>403</v>
      </c>
      <c r="D61" s="1468" t="s">
        <v>1082</v>
      </c>
      <c r="E61" s="1468" t="s">
        <v>1084</v>
      </c>
      <c r="F61" s="1467" t="s">
        <v>1102</v>
      </c>
      <c r="G61" s="1469" t="s">
        <v>327</v>
      </c>
      <c r="H61" s="1470" t="s">
        <v>1103</v>
      </c>
      <c r="I61" s="1471"/>
      <c r="J61" s="1467" t="s">
        <v>1104</v>
      </c>
      <c r="K61" s="1472"/>
      <c r="L61" s="1"/>
      <c r="M61" s="1467" t="s">
        <v>1100</v>
      </c>
      <c r="N61" s="1468" t="s">
        <v>1101</v>
      </c>
      <c r="O61" s="1468" t="s">
        <v>403</v>
      </c>
      <c r="P61" s="1468" t="s">
        <v>1082</v>
      </c>
      <c r="Q61" s="1468" t="s">
        <v>1084</v>
      </c>
      <c r="R61" s="1467" t="s">
        <v>1102</v>
      </c>
      <c r="S61" s="1469" t="s">
        <v>327</v>
      </c>
      <c r="T61" s="1470" t="s">
        <v>1103</v>
      </c>
      <c r="U61" s="1471"/>
      <c r="V61" s="1467" t="s">
        <v>1104</v>
      </c>
      <c r="W61" s="1472"/>
      <c r="X61" s="1"/>
      <c r="Y61" s="1"/>
      <c r="Z61" s="1"/>
      <c r="AA61" s="1473" t="s">
        <v>1100</v>
      </c>
      <c r="AB61" s="1474" t="s">
        <v>1101</v>
      </c>
      <c r="AC61" s="1473" t="s">
        <v>1102</v>
      </c>
      <c r="AD61" s="1474" t="s">
        <v>327</v>
      </c>
      <c r="AE61" s="1473" t="s">
        <v>1103</v>
      </c>
      <c r="AF61" s="1473" t="s">
        <v>1104</v>
      </c>
      <c r="AG61" s="1475"/>
      <c r="AH61" s="1476" t="s">
        <v>290</v>
      </c>
      <c r="AI61" s="1"/>
      <c r="AJ61" s="1467" t="s">
        <v>1100</v>
      </c>
      <c r="AK61" s="1468" t="s">
        <v>1101</v>
      </c>
      <c r="AL61" s="1468" t="s">
        <v>1080</v>
      </c>
      <c r="AM61" s="1468" t="s">
        <v>1077</v>
      </c>
      <c r="AN61" s="1467" t="s">
        <v>1102</v>
      </c>
      <c r="AO61" s="1467" t="s">
        <v>327</v>
      </c>
      <c r="AP61" s="1467" t="s">
        <v>1103</v>
      </c>
      <c r="AQ61" s="1467" t="s">
        <v>1104</v>
      </c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>
      <c r="A62" s="83">
        <v>1</v>
      </c>
      <c r="B62" s="1477">
        <f>$C$18</f>
        <v>12</v>
      </c>
      <c r="C62" s="83">
        <f>J57-100</f>
        <v>4500</v>
      </c>
      <c r="D62" s="1478">
        <v>0</v>
      </c>
      <c r="E62" s="1478">
        <f>IF(C62="","",$D$58*1000-100)</f>
        <v>100</v>
      </c>
      <c r="F62" s="1454">
        <f>IF(C62="","",C62+2*(D62+E62))</f>
        <v>4700</v>
      </c>
      <c r="G62" s="1479">
        <f>IF(A62="","",2)</f>
        <v>2</v>
      </c>
      <c r="H62" s="1524">
        <f>IF(C62="","",G62*F62/1000)</f>
        <v>9.4</v>
      </c>
      <c r="I62" s="1524"/>
      <c r="J62" s="1480">
        <f t="shared" ref="J62:J82" si="0">IF(A62="","",VLOOKUP(B62,CT,3,0)*H62)</f>
        <v>8.3472000000000008</v>
      </c>
      <c r="K62" s="1527" t="s">
        <v>1105</v>
      </c>
      <c r="L62" s="5"/>
      <c r="M62" s="83">
        <v>1</v>
      </c>
      <c r="N62" s="1477">
        <f>$C$18</f>
        <v>12</v>
      </c>
      <c r="O62" s="83">
        <f>V57-100</f>
        <v>5100</v>
      </c>
      <c r="P62" s="1478">
        <v>0</v>
      </c>
      <c r="Q62" s="1478">
        <f>IF(O62="","",$P$58*1000-100)</f>
        <v>100</v>
      </c>
      <c r="R62" s="1454">
        <f>IF(O62="","",O62+2*(P62+Q62))</f>
        <v>5300</v>
      </c>
      <c r="S62" s="1479">
        <f>IF(M62="","",2)</f>
        <v>2</v>
      </c>
      <c r="T62" s="1524">
        <f>IF(O62="","",S62*R62/1000)</f>
        <v>10.6</v>
      </c>
      <c r="U62" s="1524"/>
      <c r="V62" s="1480">
        <f t="shared" ref="V62:V82" si="1">IF(M62="","",VLOOKUP(N62,CT,3,0)*T62)</f>
        <v>9.4127999999999989</v>
      </c>
      <c r="W62" s="1527" t="s">
        <v>1106</v>
      </c>
      <c r="X62" s="1"/>
      <c r="Y62" s="1"/>
      <c r="Z62" s="1"/>
      <c r="AA62" s="1477">
        <f>AC48</f>
        <v>1</v>
      </c>
      <c r="AB62" s="1477">
        <f>IF(AA62="","",$C$19)</f>
        <v>12</v>
      </c>
      <c r="AC62" s="1477">
        <f>IF(AA62="","",ROUND($E$62+(($D$57*1000-100-$E$62)*($E$19*AA62)/($B$59*1000-$C$28)),-1))</f>
        <v>320</v>
      </c>
      <c r="AD62" s="83">
        <f>IF(AA62="","", (AD48-1))</f>
        <v>6</v>
      </c>
      <c r="AE62" s="83">
        <f>IF(AA62="","",AD62*(AC62+$AA$58*2)/1000)</f>
        <v>3.12</v>
      </c>
      <c r="AF62" s="1525">
        <f t="shared" ref="AF62:AF67" si="2">IF(AA62="","",(VLOOKUP($AB$62,CT,3,0)*AE62))</f>
        <v>2.7705600000000001</v>
      </c>
      <c r="AG62" s="1526"/>
      <c r="AH62" s="1522" t="s">
        <v>1107</v>
      </c>
      <c r="AI62" s="1"/>
      <c r="AJ62" s="83">
        <v>1</v>
      </c>
      <c r="AK62" s="1477">
        <f t="shared" ref="AK62:AK72" si="3">IF(AJ62="","",$C$22)</f>
        <v>8</v>
      </c>
      <c r="AL62" s="1478">
        <f>IF(AJ62="","",ROUND(($AL$51-1)/$AM$52*($D$15*1000-2*$F$28)+$E$20,-1))</f>
        <v>270</v>
      </c>
      <c r="AM62" s="1454">
        <f>IF(AJ62="","",ROUND((($D$15*1000-2*$F$28)-AL62)/SQRT(2),-1))</f>
        <v>160</v>
      </c>
      <c r="AN62" s="1477">
        <f>IF(AJ62="","",(AM62+AL62)*4+2*$AQ$49)</f>
        <v>1840</v>
      </c>
      <c r="AO62" s="83">
        <f t="shared" ref="AO62:AO72" si="4">IF(AJ62="","",$F$30)</f>
        <v>1</v>
      </c>
      <c r="AP62" s="1459">
        <f t="shared" ref="AP62:AP72" si="5">IF(AJ62="","",AO62*(AN62)/1000)</f>
        <v>1.84</v>
      </c>
      <c r="AQ62" s="1459">
        <f t="shared" ref="AQ62:AQ72" si="6">IF(AJ62="","",VLOOKUP(AK62,THEP,3,1)*AP62)</f>
        <v>0.72680000000000011</v>
      </c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</row>
    <row r="63" spans="1:59">
      <c r="A63" s="83">
        <f>IF(A62&lt;$E$59,1+A62,"")</f>
        <v>2</v>
      </c>
      <c r="B63" s="1477">
        <f>IF(A63="","",$B$62)</f>
        <v>12</v>
      </c>
      <c r="C63" s="83">
        <f t="shared" ref="C63:C78" si="7">IF(A63&lt;=$E$59,(C62/2-$E$18)*2,"")</f>
        <v>4100</v>
      </c>
      <c r="D63" s="1481">
        <f>(IF(A63&lt;=$E$59,SQRT(($E$18*A62*($D$57*1000-100-$E$62)/($C$62/2))^2+($E$18*A62)^2),""))</f>
        <v>200.78856885469364</v>
      </c>
      <c r="E63" s="1478">
        <f t="shared" ref="E63:E81" si="8">IF(C63="","",$D$58*1000-100)</f>
        <v>100</v>
      </c>
      <c r="F63" s="1454">
        <f t="shared" ref="F63:F81" si="9">IF(C63="","",C63+2*(D63+E63))</f>
        <v>4701.577137709387</v>
      </c>
      <c r="G63" s="1479">
        <f t="shared" ref="G63:G77" si="10">IF(A63="","",2)</f>
        <v>2</v>
      </c>
      <c r="H63" s="1524">
        <f t="shared" ref="H63:H81" si="11">IF(C63="","",G63*F63/1000)</f>
        <v>9.4031542754187747</v>
      </c>
      <c r="I63" s="1524"/>
      <c r="J63" s="1480">
        <f t="shared" si="0"/>
        <v>8.3500009965718718</v>
      </c>
      <c r="K63" s="1527"/>
      <c r="L63" s="5"/>
      <c r="M63" s="83">
        <f>IF(M62&lt;$Q$59,1+M62,"")</f>
        <v>2</v>
      </c>
      <c r="N63" s="1477">
        <f>IF(M63="","",$B$62)</f>
        <v>12</v>
      </c>
      <c r="O63" s="83">
        <f>IF(M63&lt;=$Q$59,(O62/2-$E$18)*2,"")</f>
        <v>4700</v>
      </c>
      <c r="P63" s="1481">
        <f>(IF(M63&lt;=$Q$59,SQRT(($E$18*M62*($P$57*1000-100-$Q$62)/($O$62/2))^2+($E$18*M62)^2),""))</f>
        <v>200.61420490084177</v>
      </c>
      <c r="Q63" s="1478">
        <f>IF(O63="","",$P$58*1000-100)</f>
        <v>100</v>
      </c>
      <c r="R63" s="1454">
        <f t="shared" ref="R63:R75" si="12">IF(O63="","",O63+2*(P63+Q63))</f>
        <v>5301.2284098016835</v>
      </c>
      <c r="S63" s="1479">
        <f t="shared" ref="S63:S81" si="13">IF(M63="","",2)</f>
        <v>2</v>
      </c>
      <c r="T63" s="1524">
        <f t="shared" ref="T63:T81" si="14">IF(O63="","",S63*R63/1000)</f>
        <v>10.602456819603367</v>
      </c>
      <c r="U63" s="1524"/>
      <c r="V63" s="1480">
        <f t="shared" si="1"/>
        <v>9.4149816558077895</v>
      </c>
      <c r="W63" s="1527"/>
      <c r="X63" s="1"/>
      <c r="Y63" s="1"/>
      <c r="Z63" s="1"/>
      <c r="AA63" s="1477" t="str">
        <f>AC49</f>
        <v/>
      </c>
      <c r="AB63" s="1477" t="str">
        <f>IF(AA63="","",$C$19)</f>
        <v/>
      </c>
      <c r="AC63" s="1477" t="str">
        <f>IF(AA63="","",ROUND($E$62+(($D$57*1000-100-$E$62)*($E$19*AA63)/($B$59*1000-$C$28)),-1))</f>
        <v/>
      </c>
      <c r="AD63" s="83" t="str">
        <f>IF(AA63="","", (AD49-1))</f>
        <v/>
      </c>
      <c r="AE63" s="83" t="str">
        <f>IF(AA63="","",AD63*(AC63+$AA$58*2)/1000)</f>
        <v/>
      </c>
      <c r="AF63" s="1525" t="str">
        <f t="shared" si="2"/>
        <v/>
      </c>
      <c r="AG63" s="1526"/>
      <c r="AH63" s="1523"/>
      <c r="AI63" s="1"/>
      <c r="AJ63" s="83" t="str">
        <f>IF(AJ62&lt;$AI$55,1+AJ62,"")</f>
        <v/>
      </c>
      <c r="AK63" s="1477" t="str">
        <f t="shared" si="3"/>
        <v/>
      </c>
      <c r="AL63" s="1478" t="str">
        <f t="shared" ref="AL63:AL72" si="15">IF(AJ63="","",ROUND(($AO$47-1)/$AP$48*AC63+$E$20,-1))</f>
        <v/>
      </c>
      <c r="AM63" s="1454" t="str">
        <f t="shared" ref="AM63" si="16">IF(AJ63="","",ROUND((AC63-AL63)/SQRT(2),-1))</f>
        <v/>
      </c>
      <c r="AN63" s="1477" t="str">
        <f t="shared" ref="AN63:AN72" si="17">IF(AJ63="","",(AM63+AL63)*4+2*$AT$45)</f>
        <v/>
      </c>
      <c r="AO63" s="83" t="str">
        <f t="shared" si="4"/>
        <v/>
      </c>
      <c r="AP63" s="1459" t="str">
        <f t="shared" si="5"/>
        <v/>
      </c>
      <c r="AQ63" s="1459" t="str">
        <f t="shared" ref="AQ63" si="18">IF(AJ63="","",VLOOKUP(AK63,THEP,3,1)*AP63)</f>
        <v/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</row>
    <row r="64" spans="1:59">
      <c r="A64" s="83">
        <f t="shared" ref="A64:A81" si="19">IF(A63&lt;$E$59,1+A63,"")</f>
        <v>3</v>
      </c>
      <c r="B64" s="1477">
        <f t="shared" ref="B64:B83" si="20">IF(A64="","",$B$62)</f>
        <v>12</v>
      </c>
      <c r="C64" s="83">
        <f t="shared" si="7"/>
        <v>3700</v>
      </c>
      <c r="D64" s="1481">
        <f t="shared" ref="D64:D81" si="21">(IF(A64&lt;=$E$59,SQRT(($E$18*A63*($D$57*1000-100-$E$62)/($C$62/2))^2+($E$18*A63)^2),""))</f>
        <v>401.57713770938727</v>
      </c>
      <c r="E64" s="1478">
        <f t="shared" si="8"/>
        <v>100</v>
      </c>
      <c r="F64" s="1454">
        <f t="shared" si="9"/>
        <v>4703.1542754187749</v>
      </c>
      <c r="G64" s="1479">
        <f t="shared" si="10"/>
        <v>2</v>
      </c>
      <c r="H64" s="1524">
        <f t="shared" si="11"/>
        <v>9.406308550837549</v>
      </c>
      <c r="I64" s="1524"/>
      <c r="J64" s="1480">
        <f t="shared" si="0"/>
        <v>8.3528019931437445</v>
      </c>
      <c r="K64" s="1527"/>
      <c r="L64" s="5"/>
      <c r="M64" s="83">
        <f t="shared" ref="M64:M81" si="22">IF(M63&lt;$Q$59,1+M63,"")</f>
        <v>3</v>
      </c>
      <c r="N64" s="1477">
        <f t="shared" ref="N64:N83" si="23">IF(M64="","",$B$62)</f>
        <v>12</v>
      </c>
      <c r="O64" s="83">
        <f t="shared" ref="O64:O81" si="24">IF(M64&lt;=$Q$59,(O63/2-$E$18)*2,"")</f>
        <v>4300</v>
      </c>
      <c r="P64" s="1481">
        <f>(IF(M64&lt;=$Q$59,SQRT(($E$18*M63*($P$57*1000-100-$Q$62)/($O$62/2))^2+($E$18*M63)^2),""))</f>
        <v>401.22840980168354</v>
      </c>
      <c r="Q64" s="1478">
        <f t="shared" ref="Q64:Q81" si="25">IF(O64="","",$P$58*1000-100)</f>
        <v>100</v>
      </c>
      <c r="R64" s="1454">
        <f t="shared" si="12"/>
        <v>5302.456819603367</v>
      </c>
      <c r="S64" s="1479">
        <f t="shared" si="13"/>
        <v>2</v>
      </c>
      <c r="T64" s="1524">
        <f t="shared" si="14"/>
        <v>10.604913639206734</v>
      </c>
      <c r="U64" s="1524"/>
      <c r="V64" s="1480">
        <f t="shared" si="1"/>
        <v>9.41716331161558</v>
      </c>
      <c r="W64" s="1527"/>
      <c r="X64" s="1"/>
      <c r="Y64" s="1"/>
      <c r="Z64" s="1"/>
      <c r="AA64" s="1477" t="str">
        <f>AC50</f>
        <v/>
      </c>
      <c r="AB64" s="1477" t="str">
        <f>IF(AA64="","",$C$19)</f>
        <v/>
      </c>
      <c r="AC64" s="1477" t="str">
        <f>IF(AA64="","",ROUND($E$62+(($D$57*1000-100-$E$62)*($E$19*AA64)/($B$59*1000-$C$28)),-1))</f>
        <v/>
      </c>
      <c r="AD64" s="83" t="str">
        <f>IF(AA64="","", (AD50-1))</f>
        <v/>
      </c>
      <c r="AE64" s="83" t="str">
        <f>IF(AA64="","",AD64*(AC64+$AA$58*2)/1000)</f>
        <v/>
      </c>
      <c r="AF64" s="1525" t="str">
        <f t="shared" si="2"/>
        <v/>
      </c>
      <c r="AG64" s="1526"/>
      <c r="AH64" s="1523"/>
      <c r="AI64" s="1"/>
      <c r="AJ64" s="83" t="str">
        <f t="shared" ref="AJ64:AJ72" si="26">IF(AJ63&lt;$AI$55,1+AJ63,"")</f>
        <v/>
      </c>
      <c r="AK64" s="1477" t="str">
        <f t="shared" si="3"/>
        <v/>
      </c>
      <c r="AL64" s="1478" t="str">
        <f t="shared" si="15"/>
        <v/>
      </c>
      <c r="AM64" s="1454" t="str">
        <f>IF(AJ64="","",ROUND((AC64-AL64)/SQRT(2),-1))</f>
        <v/>
      </c>
      <c r="AN64" s="1477" t="str">
        <f t="shared" si="17"/>
        <v/>
      </c>
      <c r="AO64" s="83" t="str">
        <f t="shared" si="4"/>
        <v/>
      </c>
      <c r="AP64" s="1459" t="str">
        <f t="shared" si="5"/>
        <v/>
      </c>
      <c r="AQ64" s="1459" t="str">
        <f t="shared" si="6"/>
        <v/>
      </c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1:59">
      <c r="A65" s="83" t="str">
        <f t="shared" si="19"/>
        <v/>
      </c>
      <c r="B65" s="1477" t="str">
        <f t="shared" si="20"/>
        <v/>
      </c>
      <c r="C65" s="83" t="str">
        <f t="shared" si="7"/>
        <v/>
      </c>
      <c r="D65" s="1481" t="str">
        <f t="shared" si="21"/>
        <v/>
      </c>
      <c r="E65" s="1478" t="str">
        <f t="shared" si="8"/>
        <v/>
      </c>
      <c r="F65" s="1454" t="str">
        <f t="shared" si="9"/>
        <v/>
      </c>
      <c r="G65" s="1479" t="str">
        <f t="shared" si="10"/>
        <v/>
      </c>
      <c r="H65" s="1524" t="str">
        <f t="shared" si="11"/>
        <v/>
      </c>
      <c r="I65" s="1524"/>
      <c r="J65" s="1480" t="str">
        <f t="shared" si="0"/>
        <v/>
      </c>
      <c r="K65" s="1527"/>
      <c r="L65" s="5"/>
      <c r="M65" s="83">
        <f t="shared" si="22"/>
        <v>4</v>
      </c>
      <c r="N65" s="1477">
        <f t="shared" si="23"/>
        <v>12</v>
      </c>
      <c r="O65" s="83">
        <f t="shared" si="24"/>
        <v>3900</v>
      </c>
      <c r="P65" s="1481">
        <f t="shared" ref="P65:P81" si="27">(IF(M65&lt;=$Q$59,SQRT(($E$18*M64*($P$57*1000-100-$Q$62)/($O$62/2))^2+($E$18*M64)^2),""))</f>
        <v>601.84261470252534</v>
      </c>
      <c r="Q65" s="1478">
        <f t="shared" si="25"/>
        <v>100</v>
      </c>
      <c r="R65" s="1454">
        <f t="shared" si="12"/>
        <v>5303.6852294050504</v>
      </c>
      <c r="S65" s="1479">
        <f t="shared" si="13"/>
        <v>2</v>
      </c>
      <c r="T65" s="1524">
        <f t="shared" si="14"/>
        <v>10.607370458810101</v>
      </c>
      <c r="U65" s="1524"/>
      <c r="V65" s="1480">
        <f t="shared" si="1"/>
        <v>9.4193449674233687</v>
      </c>
      <c r="W65" s="1527"/>
      <c r="X65" s="1"/>
      <c r="Y65" s="1"/>
      <c r="Z65" s="1"/>
      <c r="AA65" s="1477" t="str">
        <f>AC51</f>
        <v/>
      </c>
      <c r="AB65" s="1477" t="str">
        <f>IF(AA65="","",$C$19)</f>
        <v/>
      </c>
      <c r="AC65" s="1477" t="str">
        <f>IF(AA65="","",ROUND($E$62+(($D$57*1000-100-$E$62)*($E$19*AA65)/($B$59*1000-$C$28)),-1))</f>
        <v/>
      </c>
      <c r="AD65" s="83" t="str">
        <f>IF(AA65="","", (AD51-1))</f>
        <v/>
      </c>
      <c r="AE65" s="83" t="str">
        <f>IF(AA65="","",AD65*(AC65+$AA$58*2)/1000)</f>
        <v/>
      </c>
      <c r="AF65" s="1525" t="str">
        <f t="shared" si="2"/>
        <v/>
      </c>
      <c r="AG65" s="1526"/>
      <c r="AH65" s="1482"/>
      <c r="AI65" s="1"/>
      <c r="AJ65" s="83" t="str">
        <f t="shared" si="26"/>
        <v/>
      </c>
      <c r="AK65" s="1477" t="str">
        <f t="shared" si="3"/>
        <v/>
      </c>
      <c r="AL65" s="1478" t="str">
        <f t="shared" si="15"/>
        <v/>
      </c>
      <c r="AM65" s="1454" t="str">
        <f t="shared" ref="AM65:AM72" si="28">IF(AJ65="","",ROUND((AC65-AL65)/SQRT(2),-1))</f>
        <v/>
      </c>
      <c r="AN65" s="1477" t="str">
        <f t="shared" si="17"/>
        <v/>
      </c>
      <c r="AO65" s="83" t="str">
        <f t="shared" si="4"/>
        <v/>
      </c>
      <c r="AP65" s="1459" t="str">
        <f t="shared" si="5"/>
        <v/>
      </c>
      <c r="AQ65" s="1459" t="str">
        <f t="shared" si="6"/>
        <v/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1:59">
      <c r="A66" s="83" t="str">
        <f t="shared" si="19"/>
        <v/>
      </c>
      <c r="B66" s="1477" t="str">
        <f t="shared" si="20"/>
        <v/>
      </c>
      <c r="C66" s="83" t="str">
        <f t="shared" si="7"/>
        <v/>
      </c>
      <c r="D66" s="1481" t="str">
        <f t="shared" si="21"/>
        <v/>
      </c>
      <c r="E66" s="1478" t="str">
        <f t="shared" si="8"/>
        <v/>
      </c>
      <c r="F66" s="1454" t="str">
        <f t="shared" si="9"/>
        <v/>
      </c>
      <c r="G66" s="1479" t="str">
        <f t="shared" si="10"/>
        <v/>
      </c>
      <c r="H66" s="1524" t="str">
        <f t="shared" si="11"/>
        <v/>
      </c>
      <c r="I66" s="1524"/>
      <c r="J66" s="1480" t="str">
        <f t="shared" si="0"/>
        <v/>
      </c>
      <c r="K66" s="1527"/>
      <c r="L66" s="5"/>
      <c r="M66" s="83">
        <f t="shared" si="22"/>
        <v>5</v>
      </c>
      <c r="N66" s="1477">
        <f t="shared" si="23"/>
        <v>12</v>
      </c>
      <c r="O66" s="83">
        <f t="shared" si="24"/>
        <v>3500</v>
      </c>
      <c r="P66" s="1481">
        <f t="shared" si="27"/>
        <v>802.45681960336708</v>
      </c>
      <c r="Q66" s="1478">
        <f t="shared" si="25"/>
        <v>100</v>
      </c>
      <c r="R66" s="1454">
        <f t="shared" si="12"/>
        <v>5304.9136392067339</v>
      </c>
      <c r="S66" s="1479">
        <f t="shared" si="13"/>
        <v>2</v>
      </c>
      <c r="T66" s="1524">
        <f t="shared" si="14"/>
        <v>10.609827278413468</v>
      </c>
      <c r="U66" s="1524"/>
      <c r="V66" s="1480">
        <f t="shared" si="1"/>
        <v>9.4215266232311592</v>
      </c>
      <c r="W66" s="1527"/>
      <c r="X66" s="1"/>
      <c r="Y66" s="1"/>
      <c r="Z66" s="1"/>
      <c r="AA66" s="1477" t="str">
        <f>AC52</f>
        <v/>
      </c>
      <c r="AB66" s="1477" t="str">
        <f>IF(AA66="","",$C$19)</f>
        <v/>
      </c>
      <c r="AC66" s="1477" t="str">
        <f>IF(AA66="","",ROUND($E$62+(($D$57*1000-100-$E$62)*($E$19*AA66)/($B$59*1000-$C$28)),-1))</f>
        <v/>
      </c>
      <c r="AD66" s="83" t="str">
        <f>IF(AA66="","", (AD52-1))</f>
        <v/>
      </c>
      <c r="AE66" s="83" t="str">
        <f>IF(AA66="","",AD66*(AC66+$AA$58*2)/1000)</f>
        <v/>
      </c>
      <c r="AF66" s="1525" t="str">
        <f t="shared" si="2"/>
        <v/>
      </c>
      <c r="AG66" s="1526"/>
      <c r="AH66" s="1483"/>
      <c r="AI66" s="1"/>
      <c r="AJ66" s="83" t="str">
        <f t="shared" si="26"/>
        <v/>
      </c>
      <c r="AK66" s="1477" t="str">
        <f t="shared" si="3"/>
        <v/>
      </c>
      <c r="AL66" s="1478" t="str">
        <f t="shared" si="15"/>
        <v/>
      </c>
      <c r="AM66" s="1454" t="str">
        <f t="shared" si="28"/>
        <v/>
      </c>
      <c r="AN66" s="1477" t="str">
        <f t="shared" si="17"/>
        <v/>
      </c>
      <c r="AO66" s="83" t="str">
        <f t="shared" si="4"/>
        <v/>
      </c>
      <c r="AP66" s="1459" t="str">
        <f t="shared" si="5"/>
        <v/>
      </c>
      <c r="AQ66" s="1459" t="str">
        <f t="shared" si="6"/>
        <v/>
      </c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1:59">
      <c r="A67" s="83" t="str">
        <f t="shared" si="19"/>
        <v/>
      </c>
      <c r="B67" s="1477" t="str">
        <f t="shared" si="20"/>
        <v/>
      </c>
      <c r="C67" s="83" t="str">
        <f t="shared" si="7"/>
        <v/>
      </c>
      <c r="D67" s="1481" t="str">
        <f t="shared" si="21"/>
        <v/>
      </c>
      <c r="E67" s="1478" t="str">
        <f t="shared" si="8"/>
        <v/>
      </c>
      <c r="F67" s="1454" t="str">
        <f t="shared" si="9"/>
        <v/>
      </c>
      <c r="G67" s="1479" t="str">
        <f t="shared" si="10"/>
        <v/>
      </c>
      <c r="H67" s="1524" t="str">
        <f t="shared" si="11"/>
        <v/>
      </c>
      <c r="I67" s="1524"/>
      <c r="J67" s="1480" t="str">
        <f t="shared" si="0"/>
        <v/>
      </c>
      <c r="K67" s="1527"/>
      <c r="L67" s="5"/>
      <c r="M67" s="83" t="str">
        <f t="shared" si="22"/>
        <v/>
      </c>
      <c r="N67" s="1477" t="str">
        <f t="shared" si="23"/>
        <v/>
      </c>
      <c r="O67" s="83" t="str">
        <f t="shared" si="24"/>
        <v/>
      </c>
      <c r="P67" s="1481" t="str">
        <f t="shared" si="27"/>
        <v/>
      </c>
      <c r="Q67" s="1478" t="str">
        <f t="shared" si="25"/>
        <v/>
      </c>
      <c r="R67" s="1454" t="str">
        <f t="shared" si="12"/>
        <v/>
      </c>
      <c r="S67" s="1479" t="str">
        <f t="shared" si="13"/>
        <v/>
      </c>
      <c r="T67" s="1524" t="str">
        <f t="shared" si="14"/>
        <v/>
      </c>
      <c r="U67" s="1524"/>
      <c r="V67" s="1480" t="str">
        <f t="shared" si="1"/>
        <v/>
      </c>
      <c r="W67" s="1527"/>
      <c r="X67" s="1"/>
      <c r="Y67" s="1"/>
      <c r="Z67" s="1"/>
      <c r="AA67" s="83">
        <v>6</v>
      </c>
      <c r="AB67" s="1477">
        <f>$C$19</f>
        <v>12</v>
      </c>
      <c r="AC67" s="83">
        <f>ROUND(D57*1000-(C28+F28)-3*C18,-1)</f>
        <v>260</v>
      </c>
      <c r="AD67" s="1477">
        <f>AC54</f>
        <v>25</v>
      </c>
      <c r="AE67" s="83">
        <f>AD67*(AC67+$AA$58*2)/1000</f>
        <v>11.5</v>
      </c>
      <c r="AF67" s="1525">
        <f t="shared" si="2"/>
        <v>10.212</v>
      </c>
      <c r="AG67" s="1526"/>
      <c r="AH67" s="1484" t="s">
        <v>1108</v>
      </c>
      <c r="AI67" s="1"/>
      <c r="AJ67" s="83" t="str">
        <f t="shared" si="26"/>
        <v/>
      </c>
      <c r="AK67" s="1477" t="str">
        <f t="shared" si="3"/>
        <v/>
      </c>
      <c r="AL67" s="1478" t="str">
        <f t="shared" si="15"/>
        <v/>
      </c>
      <c r="AM67" s="1454" t="str">
        <f t="shared" si="28"/>
        <v/>
      </c>
      <c r="AN67" s="1477" t="str">
        <f t="shared" si="17"/>
        <v/>
      </c>
      <c r="AO67" s="83" t="str">
        <f t="shared" si="4"/>
        <v/>
      </c>
      <c r="AP67" s="1459" t="str">
        <f t="shared" si="5"/>
        <v/>
      </c>
      <c r="AQ67" s="1459" t="str">
        <f t="shared" si="6"/>
        <v/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1:59">
      <c r="A68" s="83" t="str">
        <f t="shared" si="19"/>
        <v/>
      </c>
      <c r="B68" s="1477" t="str">
        <f t="shared" si="20"/>
        <v/>
      </c>
      <c r="C68" s="83" t="str">
        <f t="shared" si="7"/>
        <v/>
      </c>
      <c r="D68" s="1481" t="str">
        <f t="shared" si="21"/>
        <v/>
      </c>
      <c r="E68" s="1478" t="str">
        <f t="shared" si="8"/>
        <v/>
      </c>
      <c r="F68" s="1454" t="str">
        <f t="shared" si="9"/>
        <v/>
      </c>
      <c r="G68" s="1479" t="str">
        <f t="shared" si="10"/>
        <v/>
      </c>
      <c r="H68" s="1524" t="str">
        <f t="shared" si="11"/>
        <v/>
      </c>
      <c r="I68" s="1524"/>
      <c r="J68" s="1480" t="str">
        <f t="shared" si="0"/>
        <v/>
      </c>
      <c r="K68" s="1527"/>
      <c r="L68" s="1"/>
      <c r="M68" s="83" t="str">
        <f t="shared" si="22"/>
        <v/>
      </c>
      <c r="N68" s="1477" t="str">
        <f t="shared" si="23"/>
        <v/>
      </c>
      <c r="O68" s="83" t="str">
        <f t="shared" si="24"/>
        <v/>
      </c>
      <c r="P68" s="1481" t="str">
        <f t="shared" si="27"/>
        <v/>
      </c>
      <c r="Q68" s="1478" t="str">
        <f t="shared" si="25"/>
        <v/>
      </c>
      <c r="R68" s="1454" t="str">
        <f t="shared" si="12"/>
        <v/>
      </c>
      <c r="S68" s="1479" t="str">
        <f t="shared" si="13"/>
        <v/>
      </c>
      <c r="T68" s="1524" t="str">
        <f t="shared" si="14"/>
        <v/>
      </c>
      <c r="U68" s="1524"/>
      <c r="V68" s="1480" t="str">
        <f t="shared" si="1"/>
        <v/>
      </c>
      <c r="W68" s="1527"/>
      <c r="X68" s="1"/>
      <c r="Y68" s="1"/>
      <c r="Z68" s="1"/>
      <c r="AA68" s="8" t="s">
        <v>1109</v>
      </c>
      <c r="AB68" s="1451"/>
      <c r="AC68" s="83"/>
      <c r="AD68" s="83">
        <f>SUM(AD62:AD67)</f>
        <v>31</v>
      </c>
      <c r="AE68" s="1485">
        <f>SUM(AE62:AE67)</f>
        <v>14.620000000000001</v>
      </c>
      <c r="AF68" s="1528">
        <f>SUM(AF62:AF67)</f>
        <v>12.982559999999999</v>
      </c>
      <c r="AG68" s="1528"/>
      <c r="AH68" s="1453"/>
      <c r="AI68" s="1"/>
      <c r="AJ68" s="83" t="str">
        <f t="shared" si="26"/>
        <v/>
      </c>
      <c r="AK68" s="1477" t="str">
        <f t="shared" si="3"/>
        <v/>
      </c>
      <c r="AL68" s="1478" t="str">
        <f t="shared" si="15"/>
        <v/>
      </c>
      <c r="AM68" s="1454" t="str">
        <f t="shared" si="28"/>
        <v/>
      </c>
      <c r="AN68" s="1477" t="str">
        <f t="shared" si="17"/>
        <v/>
      </c>
      <c r="AO68" s="83" t="str">
        <f t="shared" si="4"/>
        <v/>
      </c>
      <c r="AP68" s="1459" t="str">
        <f t="shared" si="5"/>
        <v/>
      </c>
      <c r="AQ68" s="1459" t="str">
        <f t="shared" si="6"/>
        <v/>
      </c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1:59">
      <c r="A69" s="83" t="str">
        <f t="shared" si="19"/>
        <v/>
      </c>
      <c r="B69" s="1477" t="str">
        <f t="shared" si="20"/>
        <v/>
      </c>
      <c r="C69" s="83" t="str">
        <f t="shared" si="7"/>
        <v/>
      </c>
      <c r="D69" s="1481" t="str">
        <f t="shared" si="21"/>
        <v/>
      </c>
      <c r="E69" s="1478" t="str">
        <f t="shared" si="8"/>
        <v/>
      </c>
      <c r="F69" s="1454" t="str">
        <f t="shared" si="9"/>
        <v/>
      </c>
      <c r="G69" s="1479" t="str">
        <f t="shared" si="10"/>
        <v/>
      </c>
      <c r="H69" s="1524" t="str">
        <f t="shared" si="11"/>
        <v/>
      </c>
      <c r="I69" s="1524"/>
      <c r="J69" s="1480" t="str">
        <f t="shared" si="0"/>
        <v/>
      </c>
      <c r="K69" s="1527"/>
      <c r="L69" s="1"/>
      <c r="M69" s="83" t="str">
        <f t="shared" si="22"/>
        <v/>
      </c>
      <c r="N69" s="1477" t="str">
        <f t="shared" si="23"/>
        <v/>
      </c>
      <c r="O69" s="83" t="str">
        <f t="shared" si="24"/>
        <v/>
      </c>
      <c r="P69" s="1481" t="str">
        <f t="shared" si="27"/>
        <v/>
      </c>
      <c r="Q69" s="1478" t="str">
        <f t="shared" si="25"/>
        <v/>
      </c>
      <c r="R69" s="1454" t="str">
        <f t="shared" si="12"/>
        <v/>
      </c>
      <c r="S69" s="1479" t="str">
        <f t="shared" si="13"/>
        <v/>
      </c>
      <c r="T69" s="1524" t="str">
        <f t="shared" si="14"/>
        <v/>
      </c>
      <c r="U69" s="1524"/>
      <c r="V69" s="1480" t="str">
        <f t="shared" si="1"/>
        <v/>
      </c>
      <c r="W69" s="1527"/>
      <c r="X69" s="1"/>
      <c r="Y69" s="1"/>
      <c r="Z69" s="1"/>
      <c r="AA69" s="8" t="s">
        <v>1110</v>
      </c>
      <c r="AB69" s="1451"/>
      <c r="AC69" s="1486">
        <f>ROUND((AE68*1000-AD68*2*AA58)/AD68,-1)</f>
        <v>270</v>
      </c>
      <c r="AD69" s="83"/>
      <c r="AE69" s="1459">
        <f>(AC69+2*AA58)*AD68/1000</f>
        <v>14.57</v>
      </c>
      <c r="AF69" s="1524"/>
      <c r="AG69" s="1524"/>
      <c r="AH69" s="1453"/>
      <c r="AI69" s="1"/>
      <c r="AJ69" s="83" t="str">
        <f t="shared" si="26"/>
        <v/>
      </c>
      <c r="AK69" s="1477" t="str">
        <f t="shared" si="3"/>
        <v/>
      </c>
      <c r="AL69" s="1478" t="str">
        <f t="shared" si="15"/>
        <v/>
      </c>
      <c r="AM69" s="1454" t="str">
        <f t="shared" si="28"/>
        <v/>
      </c>
      <c r="AN69" s="1477" t="str">
        <f t="shared" si="17"/>
        <v/>
      </c>
      <c r="AO69" s="83" t="str">
        <f t="shared" si="4"/>
        <v/>
      </c>
      <c r="AP69" s="1459" t="str">
        <f t="shared" si="5"/>
        <v/>
      </c>
      <c r="AQ69" s="1459" t="str">
        <f t="shared" si="6"/>
        <v/>
      </c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1:59">
      <c r="A70" s="83" t="str">
        <f t="shared" si="19"/>
        <v/>
      </c>
      <c r="B70" s="1477" t="str">
        <f t="shared" si="20"/>
        <v/>
      </c>
      <c r="C70" s="83" t="str">
        <f t="shared" si="7"/>
        <v/>
      </c>
      <c r="D70" s="1481" t="str">
        <f t="shared" si="21"/>
        <v/>
      </c>
      <c r="E70" s="1478" t="str">
        <f t="shared" si="8"/>
        <v/>
      </c>
      <c r="F70" s="1454" t="str">
        <f t="shared" si="9"/>
        <v/>
      </c>
      <c r="G70" s="1479" t="str">
        <f t="shared" si="10"/>
        <v/>
      </c>
      <c r="H70" s="1524" t="str">
        <f t="shared" si="11"/>
        <v/>
      </c>
      <c r="I70" s="1524"/>
      <c r="J70" s="1480" t="str">
        <f t="shared" si="0"/>
        <v/>
      </c>
      <c r="K70" s="1527"/>
      <c r="L70" s="1"/>
      <c r="M70" s="83" t="str">
        <f t="shared" si="22"/>
        <v/>
      </c>
      <c r="N70" s="1477" t="str">
        <f t="shared" si="23"/>
        <v/>
      </c>
      <c r="O70" s="83" t="str">
        <f t="shared" si="24"/>
        <v/>
      </c>
      <c r="P70" s="1481" t="str">
        <f t="shared" si="27"/>
        <v/>
      </c>
      <c r="Q70" s="1478" t="str">
        <f t="shared" si="25"/>
        <v/>
      </c>
      <c r="R70" s="1454" t="str">
        <f t="shared" si="12"/>
        <v/>
      </c>
      <c r="S70" s="1479" t="str">
        <f t="shared" si="13"/>
        <v/>
      </c>
      <c r="T70" s="1524" t="str">
        <f t="shared" si="14"/>
        <v/>
      </c>
      <c r="U70" s="1524"/>
      <c r="V70" s="1480" t="str">
        <f t="shared" si="1"/>
        <v/>
      </c>
      <c r="W70" s="1527"/>
      <c r="X70" s="1"/>
      <c r="Y70" s="1"/>
      <c r="Z70" s="1"/>
      <c r="AA70" s="8"/>
      <c r="AB70" s="8"/>
      <c r="AC70" s="8"/>
      <c r="AD70" s="8"/>
      <c r="AE70" s="8"/>
      <c r="AF70" s="1453"/>
      <c r="AG70" s="1453"/>
      <c r="AH70" s="1453"/>
      <c r="AI70" s="1"/>
      <c r="AJ70" s="83" t="str">
        <f t="shared" si="26"/>
        <v/>
      </c>
      <c r="AK70" s="1477" t="str">
        <f t="shared" si="3"/>
        <v/>
      </c>
      <c r="AL70" s="1478" t="str">
        <f t="shared" si="15"/>
        <v/>
      </c>
      <c r="AM70" s="1454" t="str">
        <f t="shared" si="28"/>
        <v/>
      </c>
      <c r="AN70" s="1477" t="str">
        <f t="shared" si="17"/>
        <v/>
      </c>
      <c r="AO70" s="83" t="str">
        <f t="shared" si="4"/>
        <v/>
      </c>
      <c r="AP70" s="1459" t="str">
        <f t="shared" si="5"/>
        <v/>
      </c>
      <c r="AQ70" s="1459" t="str">
        <f t="shared" si="6"/>
        <v/>
      </c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</row>
    <row r="71" spans="1:59">
      <c r="A71" s="83" t="str">
        <f t="shared" si="19"/>
        <v/>
      </c>
      <c r="B71" s="1477" t="str">
        <f t="shared" si="20"/>
        <v/>
      </c>
      <c r="C71" s="83" t="str">
        <f t="shared" si="7"/>
        <v/>
      </c>
      <c r="D71" s="1481" t="str">
        <f t="shared" si="21"/>
        <v/>
      </c>
      <c r="E71" s="1478" t="str">
        <f t="shared" si="8"/>
        <v/>
      </c>
      <c r="F71" s="1454" t="str">
        <f t="shared" si="9"/>
        <v/>
      </c>
      <c r="G71" s="1479" t="str">
        <f t="shared" si="10"/>
        <v/>
      </c>
      <c r="H71" s="1524" t="str">
        <f t="shared" si="11"/>
        <v/>
      </c>
      <c r="I71" s="1524"/>
      <c r="J71" s="1480" t="str">
        <f t="shared" si="0"/>
        <v/>
      </c>
      <c r="K71" s="1527"/>
      <c r="L71" s="1"/>
      <c r="M71" s="83" t="str">
        <f t="shared" si="22"/>
        <v/>
      </c>
      <c r="N71" s="1477" t="str">
        <f t="shared" si="23"/>
        <v/>
      </c>
      <c r="O71" s="83" t="str">
        <f t="shared" si="24"/>
        <v/>
      </c>
      <c r="P71" s="1481" t="str">
        <f t="shared" si="27"/>
        <v/>
      </c>
      <c r="Q71" s="1478" t="str">
        <f t="shared" si="25"/>
        <v/>
      </c>
      <c r="R71" s="1454" t="str">
        <f t="shared" si="12"/>
        <v/>
      </c>
      <c r="S71" s="1479" t="str">
        <f t="shared" si="13"/>
        <v/>
      </c>
      <c r="T71" s="1524" t="str">
        <f t="shared" si="14"/>
        <v/>
      </c>
      <c r="U71" s="1524"/>
      <c r="V71" s="1480" t="str">
        <f t="shared" si="1"/>
        <v/>
      </c>
      <c r="W71" s="1527"/>
      <c r="X71" s="1"/>
      <c r="Y71" s="1"/>
      <c r="Z71" s="1"/>
      <c r="AA71" s="8"/>
      <c r="AB71" s="8"/>
      <c r="AC71" s="8"/>
      <c r="AD71" s="8"/>
      <c r="AE71" s="8"/>
      <c r="AF71" s="1453"/>
      <c r="AG71" s="1453"/>
      <c r="AH71" s="1453"/>
      <c r="AI71" s="1"/>
      <c r="AJ71" s="83" t="str">
        <f t="shared" si="26"/>
        <v/>
      </c>
      <c r="AK71" s="1477" t="str">
        <f t="shared" si="3"/>
        <v/>
      </c>
      <c r="AL71" s="1478" t="str">
        <f t="shared" si="15"/>
        <v/>
      </c>
      <c r="AM71" s="1454" t="str">
        <f t="shared" si="28"/>
        <v/>
      </c>
      <c r="AN71" s="1477" t="str">
        <f t="shared" si="17"/>
        <v/>
      </c>
      <c r="AO71" s="83" t="str">
        <f t="shared" si="4"/>
        <v/>
      </c>
      <c r="AP71" s="1459" t="str">
        <f t="shared" si="5"/>
        <v/>
      </c>
      <c r="AQ71" s="1459" t="str">
        <f t="shared" si="6"/>
        <v/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</row>
    <row r="72" spans="1:59">
      <c r="A72" s="83" t="str">
        <f t="shared" si="19"/>
        <v/>
      </c>
      <c r="B72" s="1477" t="str">
        <f t="shared" si="20"/>
        <v/>
      </c>
      <c r="C72" s="83" t="str">
        <f t="shared" si="7"/>
        <v/>
      </c>
      <c r="D72" s="1481" t="str">
        <f t="shared" si="21"/>
        <v/>
      </c>
      <c r="E72" s="1478" t="str">
        <f t="shared" si="8"/>
        <v/>
      </c>
      <c r="F72" s="1454" t="str">
        <f t="shared" si="9"/>
        <v/>
      </c>
      <c r="G72" s="1479" t="str">
        <f t="shared" si="10"/>
        <v/>
      </c>
      <c r="H72" s="1524" t="str">
        <f t="shared" si="11"/>
        <v/>
      </c>
      <c r="I72" s="1524"/>
      <c r="J72" s="1480" t="str">
        <f t="shared" si="0"/>
        <v/>
      </c>
      <c r="K72" s="1527"/>
      <c r="L72" s="1"/>
      <c r="M72" s="83" t="str">
        <f t="shared" si="22"/>
        <v/>
      </c>
      <c r="N72" s="1477" t="str">
        <f t="shared" si="23"/>
        <v/>
      </c>
      <c r="O72" s="83" t="str">
        <f t="shared" si="24"/>
        <v/>
      </c>
      <c r="P72" s="1481" t="str">
        <f t="shared" si="27"/>
        <v/>
      </c>
      <c r="Q72" s="1478" t="str">
        <f t="shared" si="25"/>
        <v/>
      </c>
      <c r="R72" s="1454" t="str">
        <f t="shared" si="12"/>
        <v/>
      </c>
      <c r="S72" s="1479" t="str">
        <f t="shared" si="13"/>
        <v/>
      </c>
      <c r="T72" s="1524" t="str">
        <f t="shared" si="14"/>
        <v/>
      </c>
      <c r="U72" s="1524"/>
      <c r="V72" s="1480" t="str">
        <f t="shared" si="1"/>
        <v/>
      </c>
      <c r="W72" s="1527"/>
      <c r="X72" s="1"/>
      <c r="Y72" s="1"/>
      <c r="Z72" s="1"/>
      <c r="AA72" s="8"/>
      <c r="AB72" s="8"/>
      <c r="AC72" s="8"/>
      <c r="AD72" s="8"/>
      <c r="AE72" s="8"/>
      <c r="AF72" s="1453"/>
      <c r="AG72" s="1453"/>
      <c r="AH72" s="1453"/>
      <c r="AI72" s="1"/>
      <c r="AJ72" s="83" t="str">
        <f t="shared" si="26"/>
        <v/>
      </c>
      <c r="AK72" s="1477" t="str">
        <f t="shared" si="3"/>
        <v/>
      </c>
      <c r="AL72" s="1478" t="str">
        <f t="shared" si="15"/>
        <v/>
      </c>
      <c r="AM72" s="1454" t="str">
        <f t="shared" si="28"/>
        <v/>
      </c>
      <c r="AN72" s="1477" t="str">
        <f t="shared" si="17"/>
        <v/>
      </c>
      <c r="AO72" s="83" t="str">
        <f t="shared" si="4"/>
        <v/>
      </c>
      <c r="AP72" s="1459" t="str">
        <f t="shared" si="5"/>
        <v/>
      </c>
      <c r="AQ72" s="1459" t="str">
        <f t="shared" si="6"/>
        <v/>
      </c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</row>
    <row r="73" spans="1:59">
      <c r="A73" s="83" t="str">
        <f>IF(A72&lt;$E$59,1+A72,"")</f>
        <v/>
      </c>
      <c r="B73" s="1477" t="str">
        <f t="shared" si="20"/>
        <v/>
      </c>
      <c r="C73" s="83" t="str">
        <f t="shared" si="7"/>
        <v/>
      </c>
      <c r="D73" s="1481" t="str">
        <f t="shared" si="21"/>
        <v/>
      </c>
      <c r="E73" s="1478" t="str">
        <f t="shared" si="8"/>
        <v/>
      </c>
      <c r="F73" s="1454" t="str">
        <f t="shared" si="9"/>
        <v/>
      </c>
      <c r="G73" s="1479" t="str">
        <f t="shared" si="10"/>
        <v/>
      </c>
      <c r="H73" s="1524" t="str">
        <f t="shared" si="11"/>
        <v/>
      </c>
      <c r="I73" s="1524"/>
      <c r="J73" s="1480" t="str">
        <f t="shared" si="0"/>
        <v/>
      </c>
      <c r="K73" s="1527"/>
      <c r="L73" s="1"/>
      <c r="M73" s="83" t="str">
        <f t="shared" si="22"/>
        <v/>
      </c>
      <c r="N73" s="1477" t="str">
        <f t="shared" si="23"/>
        <v/>
      </c>
      <c r="O73" s="83" t="str">
        <f t="shared" si="24"/>
        <v/>
      </c>
      <c r="P73" s="1481" t="str">
        <f t="shared" si="27"/>
        <v/>
      </c>
      <c r="Q73" s="1478" t="str">
        <f t="shared" si="25"/>
        <v/>
      </c>
      <c r="R73" s="1454" t="str">
        <f t="shared" si="12"/>
        <v/>
      </c>
      <c r="S73" s="1479" t="str">
        <f t="shared" si="13"/>
        <v/>
      </c>
      <c r="T73" s="1524" t="str">
        <f t="shared" si="14"/>
        <v/>
      </c>
      <c r="U73" s="1524"/>
      <c r="V73" s="1480" t="str">
        <f t="shared" si="1"/>
        <v/>
      </c>
      <c r="W73" s="1527"/>
      <c r="X73" s="1"/>
      <c r="Y73" s="1"/>
      <c r="Z73" s="1"/>
      <c r="AA73" s="8"/>
      <c r="AB73" s="8"/>
      <c r="AC73" s="8"/>
      <c r="AD73" s="8"/>
      <c r="AE73" s="8"/>
      <c r="AF73" s="1453"/>
      <c r="AG73" s="1453"/>
      <c r="AH73" s="1453"/>
      <c r="AI73" s="1"/>
      <c r="AJ73" s="1"/>
      <c r="AK73" s="1"/>
      <c r="AL73" s="1"/>
      <c r="AM73" s="1"/>
      <c r="AN73" s="1"/>
      <c r="AO73" s="1"/>
      <c r="AP73" s="1"/>
      <c r="AQ73" s="1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</row>
    <row r="74" spans="1:59">
      <c r="A74" s="83" t="str">
        <f t="shared" si="19"/>
        <v/>
      </c>
      <c r="B74" s="1477" t="str">
        <f t="shared" si="20"/>
        <v/>
      </c>
      <c r="C74" s="83" t="str">
        <f t="shared" si="7"/>
        <v/>
      </c>
      <c r="D74" s="1481" t="str">
        <f t="shared" si="21"/>
        <v/>
      </c>
      <c r="E74" s="1478" t="str">
        <f t="shared" si="8"/>
        <v/>
      </c>
      <c r="F74" s="1454" t="str">
        <f t="shared" si="9"/>
        <v/>
      </c>
      <c r="G74" s="1479" t="str">
        <f t="shared" si="10"/>
        <v/>
      </c>
      <c r="H74" s="1524" t="str">
        <f t="shared" si="11"/>
        <v/>
      </c>
      <c r="I74" s="1524"/>
      <c r="J74" s="1480" t="str">
        <f t="shared" si="0"/>
        <v/>
      </c>
      <c r="K74" s="1527"/>
      <c r="L74" s="1"/>
      <c r="M74" s="83" t="str">
        <f t="shared" si="22"/>
        <v/>
      </c>
      <c r="N74" s="1477" t="str">
        <f t="shared" si="23"/>
        <v/>
      </c>
      <c r="O74" s="83" t="str">
        <f t="shared" si="24"/>
        <v/>
      </c>
      <c r="P74" s="1481" t="str">
        <f t="shared" si="27"/>
        <v/>
      </c>
      <c r="Q74" s="1478" t="str">
        <f t="shared" si="25"/>
        <v/>
      </c>
      <c r="R74" s="1454" t="str">
        <f t="shared" si="12"/>
        <v/>
      </c>
      <c r="S74" s="1479" t="str">
        <f t="shared" si="13"/>
        <v/>
      </c>
      <c r="T74" s="1524" t="str">
        <f t="shared" si="14"/>
        <v/>
      </c>
      <c r="U74" s="1524"/>
      <c r="V74" s="1480" t="str">
        <f t="shared" si="1"/>
        <v/>
      </c>
      <c r="W74" s="1527"/>
      <c r="X74" s="1"/>
      <c r="Y74" s="1"/>
      <c r="Z74" s="1"/>
      <c r="AA74" s="8"/>
      <c r="AB74" s="8"/>
      <c r="AC74" s="8"/>
      <c r="AD74" s="8"/>
      <c r="AE74" s="8"/>
      <c r="AF74" s="1453"/>
      <c r="AG74" s="1453"/>
      <c r="AH74" s="1453"/>
      <c r="AI74" s="1"/>
      <c r="AJ74" s="1"/>
      <c r="AK74" s="1"/>
      <c r="AL74" s="1"/>
      <c r="AM74" s="1"/>
      <c r="AN74" s="1"/>
      <c r="AO74" s="1"/>
      <c r="AP74" s="1"/>
      <c r="AQ74" s="1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1:59">
      <c r="A75" s="83" t="str">
        <f t="shared" si="19"/>
        <v/>
      </c>
      <c r="B75" s="1477" t="str">
        <f t="shared" si="20"/>
        <v/>
      </c>
      <c r="C75" s="83" t="str">
        <f t="shared" si="7"/>
        <v/>
      </c>
      <c r="D75" s="1481" t="str">
        <f t="shared" si="21"/>
        <v/>
      </c>
      <c r="E75" s="1478" t="str">
        <f t="shared" si="8"/>
        <v/>
      </c>
      <c r="F75" s="1454" t="str">
        <f t="shared" si="9"/>
        <v/>
      </c>
      <c r="G75" s="1479" t="str">
        <f t="shared" si="10"/>
        <v/>
      </c>
      <c r="H75" s="1524" t="str">
        <f t="shared" si="11"/>
        <v/>
      </c>
      <c r="I75" s="1524"/>
      <c r="J75" s="1480" t="str">
        <f t="shared" si="0"/>
        <v/>
      </c>
      <c r="K75" s="1527"/>
      <c r="L75" s="1"/>
      <c r="M75" s="83" t="str">
        <f t="shared" si="22"/>
        <v/>
      </c>
      <c r="N75" s="1477" t="str">
        <f t="shared" si="23"/>
        <v/>
      </c>
      <c r="O75" s="83" t="str">
        <f t="shared" si="24"/>
        <v/>
      </c>
      <c r="P75" s="1481" t="str">
        <f t="shared" si="27"/>
        <v/>
      </c>
      <c r="Q75" s="1478" t="str">
        <f t="shared" si="25"/>
        <v/>
      </c>
      <c r="R75" s="1454" t="str">
        <f t="shared" si="12"/>
        <v/>
      </c>
      <c r="S75" s="1479" t="str">
        <f t="shared" si="13"/>
        <v/>
      </c>
      <c r="T75" s="1524" t="str">
        <f t="shared" si="14"/>
        <v/>
      </c>
      <c r="U75" s="1524"/>
      <c r="V75" s="1480" t="str">
        <f t="shared" si="1"/>
        <v/>
      </c>
      <c r="W75" s="1527"/>
      <c r="X75" s="1"/>
      <c r="Y75" s="1"/>
      <c r="Z75" s="1"/>
      <c r="AA75" s="8"/>
      <c r="AB75" s="8"/>
      <c r="AC75" s="8"/>
      <c r="AD75" s="8"/>
      <c r="AE75" s="8"/>
      <c r="AF75" s="1453"/>
      <c r="AG75" s="1453"/>
      <c r="AH75" s="1453"/>
      <c r="AI75" s="1"/>
      <c r="AJ75" s="1"/>
      <c r="AK75" s="1"/>
      <c r="AL75" s="1"/>
      <c r="AM75" s="1"/>
      <c r="AN75" s="1"/>
      <c r="AO75" s="1"/>
      <c r="AP75" s="1"/>
      <c r="AQ75" s="1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</row>
    <row r="76" spans="1:59">
      <c r="A76" s="83" t="str">
        <f t="shared" si="19"/>
        <v/>
      </c>
      <c r="B76" s="1477" t="str">
        <f t="shared" si="20"/>
        <v/>
      </c>
      <c r="C76" s="83" t="str">
        <f t="shared" si="7"/>
        <v/>
      </c>
      <c r="D76" s="1481" t="str">
        <f t="shared" si="21"/>
        <v/>
      </c>
      <c r="E76" s="1478" t="str">
        <f t="shared" si="8"/>
        <v/>
      </c>
      <c r="F76" s="1454" t="str">
        <f>IF(C76="","",C76+2*(D76+E76))</f>
        <v/>
      </c>
      <c r="G76" s="1479" t="str">
        <f t="shared" si="10"/>
        <v/>
      </c>
      <c r="H76" s="1524" t="str">
        <f t="shared" si="11"/>
        <v/>
      </c>
      <c r="I76" s="1524"/>
      <c r="J76" s="1480" t="str">
        <f t="shared" si="0"/>
        <v/>
      </c>
      <c r="K76" s="1527"/>
      <c r="L76" s="1"/>
      <c r="M76" s="83" t="str">
        <f t="shared" si="22"/>
        <v/>
      </c>
      <c r="N76" s="1477" t="str">
        <f t="shared" si="23"/>
        <v/>
      </c>
      <c r="O76" s="83" t="str">
        <f t="shared" si="24"/>
        <v/>
      </c>
      <c r="P76" s="1481" t="str">
        <f t="shared" si="27"/>
        <v/>
      </c>
      <c r="Q76" s="1478" t="str">
        <f t="shared" si="25"/>
        <v/>
      </c>
      <c r="R76" s="1454" t="str">
        <f>IF(O76="","",O76+2*(P76+Q76))</f>
        <v/>
      </c>
      <c r="S76" s="1479" t="str">
        <f t="shared" si="13"/>
        <v/>
      </c>
      <c r="T76" s="1524" t="str">
        <f t="shared" si="14"/>
        <v/>
      </c>
      <c r="U76" s="1524"/>
      <c r="V76" s="1480" t="str">
        <f t="shared" si="1"/>
        <v/>
      </c>
      <c r="W76" s="1527"/>
      <c r="X76" s="1"/>
      <c r="Y76" s="1"/>
      <c r="Z76" s="1"/>
      <c r="AA76" s="8"/>
      <c r="AB76" s="8"/>
      <c r="AC76" s="8"/>
      <c r="AD76" s="8"/>
      <c r="AE76" s="8"/>
      <c r="AF76" s="1453"/>
      <c r="AG76" s="1453"/>
      <c r="AH76" s="1453"/>
      <c r="AI76" s="1"/>
      <c r="AJ76" s="1"/>
      <c r="AK76" s="1"/>
      <c r="AL76" s="1"/>
      <c r="AM76" s="1"/>
      <c r="AN76" s="1"/>
      <c r="AO76" s="1"/>
      <c r="AP76" s="1"/>
      <c r="AQ76" s="1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</row>
    <row r="77" spans="1:59">
      <c r="A77" s="83" t="str">
        <f>IF(A76&lt;$E$59,1+A76,"")</f>
        <v/>
      </c>
      <c r="B77" s="1477" t="str">
        <f t="shared" si="20"/>
        <v/>
      </c>
      <c r="C77" s="83" t="str">
        <f t="shared" si="7"/>
        <v/>
      </c>
      <c r="D77" s="1481" t="str">
        <f t="shared" si="21"/>
        <v/>
      </c>
      <c r="E77" s="1478" t="str">
        <f t="shared" si="8"/>
        <v/>
      </c>
      <c r="F77" s="1454" t="str">
        <f t="shared" si="9"/>
        <v/>
      </c>
      <c r="G77" s="1479" t="str">
        <f t="shared" si="10"/>
        <v/>
      </c>
      <c r="H77" s="1524" t="str">
        <f t="shared" si="11"/>
        <v/>
      </c>
      <c r="I77" s="1524"/>
      <c r="J77" s="1480" t="str">
        <f t="shared" si="0"/>
        <v/>
      </c>
      <c r="K77" s="1527"/>
      <c r="L77" s="1"/>
      <c r="M77" s="83" t="str">
        <f t="shared" si="22"/>
        <v/>
      </c>
      <c r="N77" s="1477" t="str">
        <f t="shared" si="23"/>
        <v/>
      </c>
      <c r="O77" s="83" t="str">
        <f t="shared" si="24"/>
        <v/>
      </c>
      <c r="P77" s="1481" t="str">
        <f t="shared" si="27"/>
        <v/>
      </c>
      <c r="Q77" s="1478" t="str">
        <f t="shared" si="25"/>
        <v/>
      </c>
      <c r="R77" s="1454" t="str">
        <f t="shared" ref="R77:R78" si="29">IF(O77="","",O77+2*(P77+Q77))</f>
        <v/>
      </c>
      <c r="S77" s="1479" t="str">
        <f t="shared" si="13"/>
        <v/>
      </c>
      <c r="T77" s="1524" t="str">
        <f t="shared" si="14"/>
        <v/>
      </c>
      <c r="U77" s="1524"/>
      <c r="V77" s="1480" t="str">
        <f t="shared" si="1"/>
        <v/>
      </c>
      <c r="W77" s="1527"/>
      <c r="X77" s="1"/>
      <c r="Y77" s="1"/>
      <c r="Z77" s="1"/>
      <c r="AA77" s="8"/>
      <c r="AB77" s="8"/>
      <c r="AC77" s="8"/>
      <c r="AD77" s="8"/>
      <c r="AE77" s="8"/>
      <c r="AF77" s="1453"/>
      <c r="AG77" s="1453"/>
      <c r="AH77" s="1453"/>
      <c r="AI77" s="1"/>
      <c r="AJ77" s="1"/>
      <c r="AK77" s="1"/>
      <c r="AL77" s="1"/>
      <c r="AM77" s="1"/>
      <c r="AN77" s="1"/>
      <c r="AO77" s="1"/>
      <c r="AP77" s="1"/>
      <c r="AQ77" s="1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</row>
    <row r="78" spans="1:59">
      <c r="A78" s="83" t="str">
        <f t="shared" si="19"/>
        <v/>
      </c>
      <c r="B78" s="1477" t="str">
        <f t="shared" si="20"/>
        <v/>
      </c>
      <c r="C78" s="83" t="str">
        <f t="shared" si="7"/>
        <v/>
      </c>
      <c r="D78" s="1478" t="str">
        <f t="shared" si="21"/>
        <v/>
      </c>
      <c r="E78" s="1478" t="str">
        <f t="shared" si="8"/>
        <v/>
      </c>
      <c r="F78" s="1454" t="str">
        <f t="shared" si="9"/>
        <v/>
      </c>
      <c r="G78" s="1479" t="str">
        <f t="shared" ref="G78:G81" si="30">IF(A78="","",4)</f>
        <v/>
      </c>
      <c r="H78" s="1524" t="str">
        <f t="shared" si="11"/>
        <v/>
      </c>
      <c r="I78" s="1524"/>
      <c r="J78" s="1480" t="str">
        <f t="shared" si="0"/>
        <v/>
      </c>
      <c r="K78" s="1527"/>
      <c r="L78" s="1"/>
      <c r="M78" s="83" t="str">
        <f t="shared" si="22"/>
        <v/>
      </c>
      <c r="N78" s="1477" t="str">
        <f t="shared" si="23"/>
        <v/>
      </c>
      <c r="O78" s="83" t="str">
        <f t="shared" si="24"/>
        <v/>
      </c>
      <c r="P78" s="1481" t="str">
        <f t="shared" si="27"/>
        <v/>
      </c>
      <c r="Q78" s="1478" t="str">
        <f t="shared" si="25"/>
        <v/>
      </c>
      <c r="R78" s="1454" t="str">
        <f t="shared" si="29"/>
        <v/>
      </c>
      <c r="S78" s="1479" t="str">
        <f t="shared" si="13"/>
        <v/>
      </c>
      <c r="T78" s="1524" t="str">
        <f t="shared" si="14"/>
        <v/>
      </c>
      <c r="U78" s="1524"/>
      <c r="V78" s="1480" t="str">
        <f t="shared" si="1"/>
        <v/>
      </c>
      <c r="W78" s="1527"/>
      <c r="X78" s="1"/>
      <c r="Y78" s="1"/>
      <c r="Z78" s="1"/>
      <c r="AA78" s="8"/>
      <c r="AB78" s="8"/>
      <c r="AC78" s="8"/>
      <c r="AD78" s="8"/>
      <c r="AE78" s="8"/>
      <c r="AF78" s="1453"/>
      <c r="AG78" s="1453"/>
      <c r="AH78" s="1453"/>
      <c r="AI78" s="1"/>
      <c r="AJ78" s="1"/>
      <c r="AK78" s="1"/>
      <c r="AL78" s="1"/>
      <c r="AM78" s="1"/>
      <c r="AN78" s="1"/>
      <c r="AO78" s="1"/>
      <c r="AP78" s="1"/>
      <c r="AQ78" s="1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</row>
    <row r="79" spans="1:59">
      <c r="A79" s="83" t="str">
        <f t="shared" si="19"/>
        <v/>
      </c>
      <c r="B79" s="1477" t="str">
        <f t="shared" si="20"/>
        <v/>
      </c>
      <c r="C79" s="83"/>
      <c r="D79" s="1478" t="str">
        <f t="shared" si="21"/>
        <v/>
      </c>
      <c r="E79" s="1478" t="str">
        <f>IF(C79="","",$D$58*1000-100)</f>
        <v/>
      </c>
      <c r="F79" s="1454" t="str">
        <f>IF(C79="","",C79+2*(D79+E79))</f>
        <v/>
      </c>
      <c r="G79" s="1479" t="str">
        <f>IF(A79="","",4)</f>
        <v/>
      </c>
      <c r="H79" s="1524" t="str">
        <f t="shared" si="11"/>
        <v/>
      </c>
      <c r="I79" s="1524"/>
      <c r="J79" s="1480" t="str">
        <f t="shared" si="0"/>
        <v/>
      </c>
      <c r="K79" s="1527"/>
      <c r="L79" s="1"/>
      <c r="M79" s="83" t="str">
        <f t="shared" si="22"/>
        <v/>
      </c>
      <c r="N79" s="1477" t="str">
        <f t="shared" si="23"/>
        <v/>
      </c>
      <c r="O79" s="83" t="str">
        <f t="shared" si="24"/>
        <v/>
      </c>
      <c r="P79" s="1481" t="str">
        <f t="shared" si="27"/>
        <v/>
      </c>
      <c r="Q79" s="1478" t="str">
        <f t="shared" si="25"/>
        <v/>
      </c>
      <c r="R79" s="1454" t="str">
        <f>IF(O79="","",O79+2*(P79+Q79))</f>
        <v/>
      </c>
      <c r="S79" s="1479" t="str">
        <f t="shared" si="13"/>
        <v/>
      </c>
      <c r="T79" s="1524" t="str">
        <f t="shared" si="14"/>
        <v/>
      </c>
      <c r="U79" s="1524"/>
      <c r="V79" s="1480" t="str">
        <f t="shared" si="1"/>
        <v/>
      </c>
      <c r="W79" s="1527"/>
      <c r="X79" s="1"/>
      <c r="Y79" s="1"/>
      <c r="Z79" s="1"/>
      <c r="AA79" s="8"/>
      <c r="AB79" s="8"/>
      <c r="AC79" s="8"/>
      <c r="AD79" s="8"/>
      <c r="AE79" s="8"/>
      <c r="AF79" s="1453"/>
      <c r="AG79" s="1453"/>
      <c r="AH79" s="1453"/>
      <c r="AI79" s="1"/>
      <c r="AJ79" s="1"/>
      <c r="AK79" s="1"/>
      <c r="AL79" s="1"/>
      <c r="AM79" s="1"/>
      <c r="AN79" s="1"/>
      <c r="AO79" s="1"/>
      <c r="AP79" s="1"/>
      <c r="AQ79" s="1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</row>
    <row r="80" spans="1:59">
      <c r="A80" s="83" t="str">
        <f t="shared" si="19"/>
        <v/>
      </c>
      <c r="B80" s="1477" t="str">
        <f t="shared" si="20"/>
        <v/>
      </c>
      <c r="C80" s="83"/>
      <c r="D80" s="1478" t="str">
        <f t="shared" si="21"/>
        <v/>
      </c>
      <c r="E80" s="1478" t="str">
        <f t="shared" si="8"/>
        <v/>
      </c>
      <c r="F80" s="1454" t="str">
        <f t="shared" si="9"/>
        <v/>
      </c>
      <c r="G80" s="1479" t="str">
        <f t="shared" si="30"/>
        <v/>
      </c>
      <c r="H80" s="1524" t="str">
        <f t="shared" si="11"/>
        <v/>
      </c>
      <c r="I80" s="1524"/>
      <c r="J80" s="1480" t="str">
        <f t="shared" si="0"/>
        <v/>
      </c>
      <c r="K80" s="1527"/>
      <c r="L80" s="1"/>
      <c r="M80" s="83" t="str">
        <f t="shared" si="22"/>
        <v/>
      </c>
      <c r="N80" s="1477" t="str">
        <f t="shared" si="23"/>
        <v/>
      </c>
      <c r="O80" s="83" t="str">
        <f t="shared" si="24"/>
        <v/>
      </c>
      <c r="P80" s="1481" t="str">
        <f t="shared" si="27"/>
        <v/>
      </c>
      <c r="Q80" s="1478" t="str">
        <f t="shared" si="25"/>
        <v/>
      </c>
      <c r="R80" s="1454" t="str">
        <f t="shared" ref="R80:R81" si="31">IF(O80="","",O80+2*(P80+Q80))</f>
        <v/>
      </c>
      <c r="S80" s="1479" t="str">
        <f t="shared" si="13"/>
        <v/>
      </c>
      <c r="T80" s="1524" t="str">
        <f t="shared" si="14"/>
        <v/>
      </c>
      <c r="U80" s="1524"/>
      <c r="V80" s="1480" t="str">
        <f t="shared" si="1"/>
        <v/>
      </c>
      <c r="W80" s="1527"/>
      <c r="X80" s="1"/>
      <c r="Y80" s="1"/>
      <c r="Z80" s="1"/>
      <c r="AA80" s="8"/>
      <c r="AB80" s="8"/>
      <c r="AC80" s="8"/>
      <c r="AD80" s="8"/>
      <c r="AE80" s="8"/>
      <c r="AF80" s="1453"/>
      <c r="AG80" s="1453"/>
      <c r="AH80" s="1453"/>
      <c r="AI80" s="1"/>
      <c r="AJ80" s="1"/>
      <c r="AK80" s="1"/>
      <c r="AL80" s="1"/>
      <c r="AM80" s="1"/>
      <c r="AN80" s="1"/>
      <c r="AO80" s="1"/>
      <c r="AP80" s="1"/>
      <c r="AQ80" s="1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</row>
    <row r="81" spans="1:59">
      <c r="A81" s="83" t="str">
        <f t="shared" si="19"/>
        <v/>
      </c>
      <c r="B81" s="1477" t="str">
        <f t="shared" si="20"/>
        <v/>
      </c>
      <c r="C81" s="83"/>
      <c r="D81" s="1478" t="str">
        <f t="shared" si="21"/>
        <v/>
      </c>
      <c r="E81" s="1478" t="str">
        <f t="shared" si="8"/>
        <v/>
      </c>
      <c r="F81" s="1454" t="str">
        <f t="shared" si="9"/>
        <v/>
      </c>
      <c r="G81" s="1479" t="str">
        <f t="shared" si="30"/>
        <v/>
      </c>
      <c r="H81" s="1524" t="str">
        <f t="shared" si="11"/>
        <v/>
      </c>
      <c r="I81" s="1524"/>
      <c r="J81" s="1480" t="str">
        <f t="shared" si="0"/>
        <v/>
      </c>
      <c r="K81" s="1527"/>
      <c r="L81" s="1"/>
      <c r="M81" s="83" t="str">
        <f t="shared" si="22"/>
        <v/>
      </c>
      <c r="N81" s="1477" t="str">
        <f t="shared" si="23"/>
        <v/>
      </c>
      <c r="O81" s="83" t="str">
        <f t="shared" si="24"/>
        <v/>
      </c>
      <c r="P81" s="1481" t="str">
        <f t="shared" si="27"/>
        <v/>
      </c>
      <c r="Q81" s="1478" t="str">
        <f t="shared" si="25"/>
        <v/>
      </c>
      <c r="R81" s="1454" t="str">
        <f t="shared" si="31"/>
        <v/>
      </c>
      <c r="S81" s="1479" t="str">
        <f t="shared" si="13"/>
        <v/>
      </c>
      <c r="T81" s="1524" t="str">
        <f t="shared" si="14"/>
        <v/>
      </c>
      <c r="U81" s="1524"/>
      <c r="V81" s="1480" t="str">
        <f t="shared" si="1"/>
        <v/>
      </c>
      <c r="W81" s="1527"/>
      <c r="X81" s="1"/>
      <c r="Y81" s="1"/>
      <c r="Z81" s="1"/>
      <c r="AA81" s="8"/>
      <c r="AB81" s="8"/>
      <c r="AC81" s="8"/>
      <c r="AD81" s="8"/>
      <c r="AE81" s="8"/>
      <c r="AF81" s="1453"/>
      <c r="AG81" s="1453"/>
      <c r="AH81" s="1453"/>
      <c r="AI81" s="1"/>
      <c r="AJ81" s="1"/>
      <c r="AK81" s="1"/>
      <c r="AL81" s="1"/>
      <c r="AM81" s="1"/>
      <c r="AN81" s="1"/>
      <c r="AO81" s="1"/>
      <c r="AP81" s="1"/>
      <c r="AQ81" s="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1:59">
      <c r="A82" s="85">
        <v>21</v>
      </c>
      <c r="B82" s="1487">
        <f t="shared" si="20"/>
        <v>12</v>
      </c>
      <c r="C82" s="85">
        <f>B60*1000</f>
        <v>3400.0000000000005</v>
      </c>
      <c r="D82" s="12">
        <f>ROUND(SQRT((($C$62-$B$60*1000)/2)^2+(D57*1000-100-E62)^2),-1)</f>
        <v>590</v>
      </c>
      <c r="E82" s="12">
        <f>IF(C82="","",$D$58*1000-100)</f>
        <v>100</v>
      </c>
      <c r="F82" s="1488">
        <f>IF(C82="","",C82+2*(D82+E82))</f>
        <v>4780</v>
      </c>
      <c r="G82" s="1489">
        <f>E60</f>
        <v>17</v>
      </c>
      <c r="H82" s="1532">
        <f>IF(C82="","",G82*F82/1000)</f>
        <v>81.260000000000005</v>
      </c>
      <c r="I82" s="1532"/>
      <c r="J82" s="1490">
        <f t="shared" si="0"/>
        <v>72.158880000000011</v>
      </c>
      <c r="K82" s="1529" t="s">
        <v>1111</v>
      </c>
      <c r="L82" s="1"/>
      <c r="M82" s="85">
        <v>21</v>
      </c>
      <c r="N82" s="1487">
        <f t="shared" si="23"/>
        <v>12</v>
      </c>
      <c r="O82" s="85">
        <f>N60*1000</f>
        <v>3400.0000000000005</v>
      </c>
      <c r="P82" s="12">
        <f>ROUND(SQRT((($O$62-$N$60*1000)/2)^2+(P57*1000-100-Q62)^2),-1)</f>
        <v>870</v>
      </c>
      <c r="Q82" s="12">
        <f>IF(O82="","",$D$58*1000-100)</f>
        <v>100</v>
      </c>
      <c r="R82" s="1488">
        <f>IF(O82="","",O82+2*(P82+Q82))</f>
        <v>5340</v>
      </c>
      <c r="S82" s="1489">
        <f>Q60</f>
        <v>17</v>
      </c>
      <c r="T82" s="1532">
        <f>IF(O82="","",S82*R82/1000)</f>
        <v>90.78</v>
      </c>
      <c r="U82" s="1532"/>
      <c r="V82" s="1490">
        <f t="shared" si="1"/>
        <v>80.612639999999999</v>
      </c>
      <c r="W82" s="1529" t="s">
        <v>1112</v>
      </c>
      <c r="X82" s="1"/>
      <c r="Y82" s="1"/>
      <c r="Z82" s="1"/>
      <c r="AA82" s="8"/>
      <c r="AB82" s="8"/>
      <c r="AC82" s="8"/>
      <c r="AD82" s="8"/>
      <c r="AE82" s="8"/>
      <c r="AF82" s="1453"/>
      <c r="AG82" s="1453"/>
      <c r="AH82" s="1453"/>
      <c r="AI82" s="1"/>
      <c r="AJ82" s="1"/>
      <c r="AK82" s="1"/>
      <c r="AL82" s="1"/>
      <c r="AM82" s="1"/>
      <c r="AN82" s="1"/>
      <c r="AO82" s="1"/>
      <c r="AP82" s="1"/>
      <c r="AQ82" s="1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</row>
    <row r="83" spans="1:59">
      <c r="A83" s="85"/>
      <c r="B83" s="1487" t="str">
        <f t="shared" si="20"/>
        <v/>
      </c>
      <c r="C83" s="85"/>
      <c r="D83" s="85"/>
      <c r="E83" s="85"/>
      <c r="F83" s="85"/>
      <c r="G83" s="85"/>
      <c r="H83" s="1530"/>
      <c r="I83" s="1531"/>
      <c r="J83" s="85"/>
      <c r="K83" s="1529"/>
      <c r="L83" s="1"/>
      <c r="M83" s="85"/>
      <c r="N83" s="1487" t="str">
        <f t="shared" si="23"/>
        <v/>
      </c>
      <c r="O83" s="85"/>
      <c r="P83" s="85"/>
      <c r="Q83" s="85"/>
      <c r="R83" s="85"/>
      <c r="S83" s="85"/>
      <c r="T83" s="1530"/>
      <c r="U83" s="1531"/>
      <c r="V83" s="85"/>
      <c r="W83" s="1529"/>
      <c r="X83" s="1"/>
      <c r="Y83" s="1"/>
      <c r="Z83" s="1"/>
      <c r="AA83" s="8"/>
      <c r="AB83" s="8"/>
      <c r="AC83" s="8"/>
      <c r="AD83" s="8"/>
      <c r="AE83" s="8"/>
      <c r="AF83" s="1453"/>
      <c r="AG83" s="1453"/>
      <c r="AH83" s="1453"/>
      <c r="AI83" s="1"/>
      <c r="AJ83" s="1"/>
      <c r="AK83" s="1"/>
      <c r="AL83" s="1"/>
      <c r="AM83" s="1"/>
      <c r="AN83" s="1"/>
      <c r="AO83" s="1"/>
      <c r="AP83" s="1"/>
      <c r="AQ83" s="1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1:59">
      <c r="A84" s="1467" t="s">
        <v>1109</v>
      </c>
      <c r="B84" s="1471"/>
      <c r="C84" s="1534">
        <f>SUM(C62:D83)/1000</f>
        <v>16.892365706564082</v>
      </c>
      <c r="D84" s="1534"/>
      <c r="E84" s="1471"/>
      <c r="F84" s="1471"/>
      <c r="G84" s="1468">
        <f>SUM(G62:G83)</f>
        <v>23</v>
      </c>
      <c r="H84" s="1534">
        <f>SUM(H62:I83)</f>
        <v>109.46946282625633</v>
      </c>
      <c r="I84" s="1535"/>
      <c r="J84" s="1491">
        <f>SUM(J62:J83)</f>
        <v>97.208882989715619</v>
      </c>
      <c r="K84" s="1"/>
      <c r="L84" s="1"/>
      <c r="M84" s="1467" t="s">
        <v>1109</v>
      </c>
      <c r="N84" s="1471"/>
      <c r="O84" s="1534">
        <f>SUM(O62:P83)/1000</f>
        <v>27.776142049008417</v>
      </c>
      <c r="P84" s="1534"/>
      <c r="Q84" s="1471"/>
      <c r="R84" s="1471"/>
      <c r="S84" s="1468">
        <f>SUM(S62:S83)</f>
        <v>27</v>
      </c>
      <c r="T84" s="1534">
        <f>SUM(T62:U83)</f>
        <v>143.80456819603367</v>
      </c>
      <c r="U84" s="1535"/>
      <c r="V84" s="1491">
        <f>SUM(V62:V83)</f>
        <v>127.69845655807791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1:59">
      <c r="A85" s="1" t="s">
        <v>1110</v>
      </c>
      <c r="B85" s="1"/>
      <c r="C85" s="1">
        <f>ROUND((AVERAGE(C62:C81)*SUM($G$62:$G$81)+C82*$G$82)/$G$84,-1)</f>
        <v>3580</v>
      </c>
      <c r="D85" s="1">
        <f>ROUND((AVERAGE(D62:D81)*SUM($G$62:$G$81)+D82*$G$82)/$G$84,-1)</f>
        <v>490</v>
      </c>
      <c r="E85" s="1">
        <f>ROUND((AVERAGE(E62:E81)*SUM($G$62:$G$81)+E82*$G$82)/$G$84,-1)</f>
        <v>100</v>
      </c>
      <c r="F85" s="1492">
        <f>ROUND(IF(C85="","",C85+2*(D85+E85)),-1)</f>
        <v>4760</v>
      </c>
      <c r="G85" s="1"/>
      <c r="H85" s="1533">
        <f>F85*G84/1000</f>
        <v>109.48</v>
      </c>
      <c r="I85" s="1533"/>
      <c r="J85" s="100">
        <f>(VLOOKUP(B62,CT,3,0)*H85)</f>
        <v>97.218240000000009</v>
      </c>
      <c r="K85" s="1" t="s">
        <v>1113</v>
      </c>
      <c r="L85" s="1"/>
      <c r="M85" s="1" t="s">
        <v>1110</v>
      </c>
      <c r="N85" s="1"/>
      <c r="O85" s="1">
        <f>ROUND((AVERAGE(O62:O81)*SUM($S$62:$S$81)+O82*$S$82)/$S$84,-1)</f>
        <v>3730</v>
      </c>
      <c r="P85" s="1">
        <f>ROUND((AVERAGE(P62:P81)*SUM($S$62:$S$81)+P82*$S$82)/$S$84,-1)</f>
        <v>700</v>
      </c>
      <c r="Q85" s="1">
        <f>ROUND((AVERAGE(Q62:Q81)*SUM($S$62:$S$81)+Q82*$S$82)/$S$84,-1)</f>
        <v>100</v>
      </c>
      <c r="R85" s="1492">
        <f>ROUND(IF(O85="","",O85+2*(P85+Q85)),-1)</f>
        <v>5330</v>
      </c>
      <c r="S85" s="1"/>
      <c r="T85" s="1533">
        <f>R85*S84/1000</f>
        <v>143.91</v>
      </c>
      <c r="U85" s="1533"/>
      <c r="V85" s="100">
        <f>(VLOOKUP(N62,CT,3,0)*T85)</f>
        <v>127.79208</v>
      </c>
      <c r="W85" s="1" t="s">
        <v>1113</v>
      </c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1:59">
      <c r="A86" s="1"/>
      <c r="B86" s="1"/>
      <c r="C86" s="1"/>
      <c r="D86" s="1"/>
      <c r="E86" s="1"/>
      <c r="F86" s="1492"/>
      <c r="G86" s="1"/>
      <c r="H86" s="1533"/>
      <c r="I86" s="153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1:59">
      <c r="A87" s="1"/>
      <c r="B87" s="1"/>
      <c r="C87" s="1"/>
      <c r="D87" s="1"/>
      <c r="E87" s="1"/>
      <c r="F87" s="1492"/>
      <c r="G87" s="1"/>
      <c r="H87" s="100"/>
      <c r="I87" s="10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1:59">
      <c r="A88" s="1"/>
      <c r="B88" s="1"/>
      <c r="C88"/>
      <c r="D88"/>
      <c r="E88"/>
      <c r="F88"/>
      <c r="G88"/>
      <c r="H88"/>
      <c r="I88"/>
      <c r="J8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1:5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1:5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1:5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</row>
    <row r="92" spans="1:5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1:5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</row>
    <row r="94" spans="1:5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1:5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1:5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1:5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1:5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1:5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  <row r="100" spans="1:5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</row>
    <row r="101" spans="1:5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</row>
    <row r="102" spans="1:5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</row>
    <row r="103" spans="1:5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</row>
    <row r="104" spans="1:5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</row>
    <row r="105" spans="1:5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</row>
    <row r="106" spans="1:5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</row>
    <row r="107" spans="1:5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</row>
    <row r="108" spans="1:5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</row>
    <row r="109" spans="1:5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</row>
    <row r="110" spans="1:5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</row>
    <row r="111" spans="1:5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</row>
    <row r="112" spans="1:5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</row>
    <row r="113" spans="1:5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</row>
    <row r="114" spans="1:5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</row>
    <row r="115" spans="1:5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</row>
    <row r="116" spans="1:5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</row>
    <row r="117" spans="1:5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</row>
    <row r="118" spans="1:5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</row>
    <row r="119" spans="1:5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</row>
    <row r="120" spans="1:5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</row>
    <row r="121" spans="1:5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</row>
    <row r="122" spans="1:5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</row>
    <row r="123" spans="1:5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</row>
    <row r="124" spans="1:5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</row>
    <row r="125" spans="1:5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</row>
    <row r="126" spans="1:5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</row>
    <row r="127" spans="1:5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</row>
    <row r="128" spans="1:5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</row>
    <row r="129" spans="1:5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</row>
  </sheetData>
  <mergeCells count="89">
    <mergeCell ref="H86:I86"/>
    <mergeCell ref="C84:D84"/>
    <mergeCell ref="H84:I84"/>
    <mergeCell ref="O84:P84"/>
    <mergeCell ref="T84:U84"/>
    <mergeCell ref="H85:I85"/>
    <mergeCell ref="T85:U85"/>
    <mergeCell ref="W82:W83"/>
    <mergeCell ref="H83:I83"/>
    <mergeCell ref="T83:U83"/>
    <mergeCell ref="H78:I78"/>
    <mergeCell ref="T78:U78"/>
    <mergeCell ref="H79:I79"/>
    <mergeCell ref="T79:U79"/>
    <mergeCell ref="H80:I80"/>
    <mergeCell ref="T80:U80"/>
    <mergeCell ref="H81:I81"/>
    <mergeCell ref="T81:U81"/>
    <mergeCell ref="H82:I82"/>
    <mergeCell ref="K82:K83"/>
    <mergeCell ref="T82:U82"/>
    <mergeCell ref="H75:I75"/>
    <mergeCell ref="T75:U75"/>
    <mergeCell ref="H76:I76"/>
    <mergeCell ref="T76:U76"/>
    <mergeCell ref="H77:I77"/>
    <mergeCell ref="T77:U77"/>
    <mergeCell ref="H72:I72"/>
    <mergeCell ref="T72:U72"/>
    <mergeCell ref="H73:I73"/>
    <mergeCell ref="T73:U73"/>
    <mergeCell ref="H74:I74"/>
    <mergeCell ref="T74:U74"/>
    <mergeCell ref="H69:I69"/>
    <mergeCell ref="T69:U69"/>
    <mergeCell ref="AF69:AG69"/>
    <mergeCell ref="H70:I70"/>
    <mergeCell ref="T70:U70"/>
    <mergeCell ref="T67:U67"/>
    <mergeCell ref="AF67:AG67"/>
    <mergeCell ref="H68:I68"/>
    <mergeCell ref="T68:U68"/>
    <mergeCell ref="AF68:AG68"/>
    <mergeCell ref="H66:I66"/>
    <mergeCell ref="T66:U66"/>
    <mergeCell ref="AF66:AG66"/>
    <mergeCell ref="H62:I62"/>
    <mergeCell ref="K62:K81"/>
    <mergeCell ref="T62:U62"/>
    <mergeCell ref="W62:W81"/>
    <mergeCell ref="AF62:AG62"/>
    <mergeCell ref="T64:U64"/>
    <mergeCell ref="AF64:AG64"/>
    <mergeCell ref="H65:I65"/>
    <mergeCell ref="T65:U65"/>
    <mergeCell ref="AF65:AG65"/>
    <mergeCell ref="H71:I71"/>
    <mergeCell ref="T71:U71"/>
    <mergeCell ref="H67:I67"/>
    <mergeCell ref="AH62:AH64"/>
    <mergeCell ref="H63:I63"/>
    <mergeCell ref="T63:U63"/>
    <mergeCell ref="AF63:AG63"/>
    <mergeCell ref="H64:I64"/>
    <mergeCell ref="AC56:AD56"/>
    <mergeCell ref="D57:E57"/>
    <mergeCell ref="P57:Q57"/>
    <mergeCell ref="D58:E58"/>
    <mergeCell ref="P58:Q58"/>
    <mergeCell ref="AA58:AB58"/>
    <mergeCell ref="C51:D51"/>
    <mergeCell ref="O51:P51"/>
    <mergeCell ref="C53:D53"/>
    <mergeCell ref="O53:P53"/>
    <mergeCell ref="AC54:AD54"/>
    <mergeCell ref="AC55:AD55"/>
    <mergeCell ref="F9:I9"/>
    <mergeCell ref="AF20:AK20"/>
    <mergeCell ref="AE21:AE24"/>
    <mergeCell ref="AE25:AE27"/>
    <mergeCell ref="AG29:AJ29"/>
    <mergeCell ref="AB48:AB52"/>
    <mergeCell ref="A1:H1"/>
    <mergeCell ref="U1:AB1"/>
    <mergeCell ref="A2:B2"/>
    <mergeCell ref="U2:V2"/>
    <mergeCell ref="W2:Z2"/>
    <mergeCell ref="AA2:AA3"/>
    <mergeCell ref="AB2:AB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utoCAD.Drawing.14" shapeId="562177" r:id="rId3">
          <objectPr defaultSize="0" autoPict="0" r:id="rId4">
            <anchor moveWithCells="1">
              <from>
                <xdr:col>6</xdr:col>
                <xdr:colOff>44450</xdr:colOff>
                <xdr:row>23</xdr:row>
                <xdr:rowOff>38100</xdr:rowOff>
              </from>
              <to>
                <xdr:col>7</xdr:col>
                <xdr:colOff>558800</xdr:colOff>
                <xdr:row>29</xdr:row>
                <xdr:rowOff>146050</xdr:rowOff>
              </to>
            </anchor>
          </objectPr>
        </oleObject>
      </mc:Choice>
      <mc:Fallback>
        <oleObject progId="AutoCAD.Drawing.14" shapeId="562177" r:id="rId3"/>
      </mc:Fallback>
    </mc:AlternateContent>
    <mc:AlternateContent xmlns:mc="http://schemas.openxmlformats.org/markup-compatibility/2006">
      <mc:Choice Requires="x14">
        <oleObject progId="Visio.Drawing.11" shapeId="562178" r:id="rId5">
          <objectPr defaultSize="0" autoPict="0" r:id="rId6">
            <anchor moveWithCells="1" sizeWithCells="1">
              <from>
                <xdr:col>21</xdr:col>
                <xdr:colOff>400050</xdr:colOff>
                <xdr:row>4</xdr:row>
                <xdr:rowOff>127000</xdr:rowOff>
              </from>
              <to>
                <xdr:col>25</xdr:col>
                <xdr:colOff>107950</xdr:colOff>
                <xdr:row>11</xdr:row>
                <xdr:rowOff>107950</xdr:rowOff>
              </to>
            </anchor>
          </objectPr>
        </oleObject>
      </mc:Choice>
      <mc:Fallback>
        <oleObject progId="Visio.Drawing.11" shapeId="562178" r:id="rId5"/>
      </mc:Fallback>
    </mc:AlternateContent>
    <mc:AlternateContent xmlns:mc="http://schemas.openxmlformats.org/markup-compatibility/2006">
      <mc:Choice Requires="x14">
        <oleObject progId="Equation.DSMT4" shapeId="562179" r:id="rId7">
          <objectPr defaultSize="0" autoPict="0" r:id="rId8">
            <anchor moveWithCells="1" sizeWithCells="1">
              <from>
                <xdr:col>21</xdr:col>
                <xdr:colOff>552450</xdr:colOff>
                <xdr:row>11</xdr:row>
                <xdr:rowOff>139700</xdr:rowOff>
              </from>
              <to>
                <xdr:col>24</xdr:col>
                <xdr:colOff>463550</xdr:colOff>
                <xdr:row>13</xdr:row>
                <xdr:rowOff>190500</xdr:rowOff>
              </to>
            </anchor>
          </objectPr>
        </oleObject>
      </mc:Choice>
      <mc:Fallback>
        <oleObject progId="Equation.DSMT4" shapeId="562179" r:id="rId7"/>
      </mc:Fallback>
    </mc:AlternateContent>
    <mc:AlternateContent xmlns:mc="http://schemas.openxmlformats.org/markup-compatibility/2006">
      <mc:Choice Requires="x14">
        <oleObject progId="Visio.Drawing.11" shapeId="562180" r:id="rId9">
          <objectPr defaultSize="0" autoPict="0" r:id="rId10">
            <anchor moveWithCells="1">
              <from>
                <xdr:col>0</xdr:col>
                <xdr:colOff>469900</xdr:colOff>
                <xdr:row>44</xdr:row>
                <xdr:rowOff>152400</xdr:rowOff>
              </from>
              <to>
                <xdr:col>3</xdr:col>
                <xdr:colOff>241300</xdr:colOff>
                <xdr:row>53</xdr:row>
                <xdr:rowOff>50800</xdr:rowOff>
              </to>
            </anchor>
          </objectPr>
        </oleObject>
      </mc:Choice>
      <mc:Fallback>
        <oleObject progId="Visio.Drawing.11" shapeId="562180" r:id="rId9"/>
      </mc:Fallback>
    </mc:AlternateContent>
    <mc:AlternateContent xmlns:mc="http://schemas.openxmlformats.org/markup-compatibility/2006">
      <mc:Choice Requires="x14">
        <oleObject progId="Visio.Drawing.11" shapeId="562181" r:id="rId11">
          <objectPr defaultSize="0" autoPict="0" r:id="rId12">
            <anchor moveWithCells="1">
              <from>
                <xdr:col>5</xdr:col>
                <xdr:colOff>622300</xdr:colOff>
                <xdr:row>54</xdr:row>
                <xdr:rowOff>12700</xdr:rowOff>
              </from>
              <to>
                <xdr:col>9</xdr:col>
                <xdr:colOff>355600</xdr:colOff>
                <xdr:row>55</xdr:row>
                <xdr:rowOff>190500</xdr:rowOff>
              </to>
            </anchor>
          </objectPr>
        </oleObject>
      </mc:Choice>
      <mc:Fallback>
        <oleObject progId="Visio.Drawing.11" shapeId="562181" r:id="rId11"/>
      </mc:Fallback>
    </mc:AlternateContent>
    <mc:AlternateContent xmlns:mc="http://schemas.openxmlformats.org/markup-compatibility/2006">
      <mc:Choice Requires="x14">
        <oleObject progId="Visio.Drawing.11" shapeId="562182" r:id="rId13">
          <objectPr defaultSize="0" autoPict="0" r:id="rId12">
            <anchor moveWithCells="1">
              <from>
                <xdr:col>10</xdr:col>
                <xdr:colOff>165100</xdr:colOff>
                <xdr:row>16</xdr:row>
                <xdr:rowOff>146050</xdr:rowOff>
              </from>
              <to>
                <xdr:col>12</xdr:col>
                <xdr:colOff>431800</xdr:colOff>
                <xdr:row>18</xdr:row>
                <xdr:rowOff>31750</xdr:rowOff>
              </to>
            </anchor>
          </objectPr>
        </oleObject>
      </mc:Choice>
      <mc:Fallback>
        <oleObject progId="Visio.Drawing.11" shapeId="562182" r:id="rId13"/>
      </mc:Fallback>
    </mc:AlternateContent>
    <mc:AlternateContent xmlns:mc="http://schemas.openxmlformats.org/markup-compatibility/2006">
      <mc:Choice Requires="x14">
        <oleObject progId="Visio.Drawing.11" shapeId="562183" r:id="rId14">
          <objectPr defaultSize="0" autoPict="0" r:id="rId15">
            <anchor moveWithCells="1">
              <from>
                <xdr:col>10</xdr:col>
                <xdr:colOff>552450</xdr:colOff>
                <xdr:row>31</xdr:row>
                <xdr:rowOff>88900</xdr:rowOff>
              </from>
              <to>
                <xdr:col>12</xdr:col>
                <xdr:colOff>57150</xdr:colOff>
                <xdr:row>32</xdr:row>
                <xdr:rowOff>31750</xdr:rowOff>
              </to>
            </anchor>
          </objectPr>
        </oleObject>
      </mc:Choice>
      <mc:Fallback>
        <oleObject progId="Visio.Drawing.11" shapeId="562183" r:id="rId14"/>
      </mc:Fallback>
    </mc:AlternateContent>
    <mc:AlternateContent xmlns:mc="http://schemas.openxmlformats.org/markup-compatibility/2006">
      <mc:Choice Requires="x14">
        <oleObject progId="Visio.Drawing.11" shapeId="562184" r:id="rId16">
          <objectPr defaultSize="0" autoPict="0" r:id="rId17">
            <anchor moveWithCells="1">
              <from>
                <xdr:col>28</xdr:col>
                <xdr:colOff>38100</xdr:colOff>
                <xdr:row>57</xdr:row>
                <xdr:rowOff>6350</xdr:rowOff>
              </from>
              <to>
                <xdr:col>30</xdr:col>
                <xdr:colOff>336550</xdr:colOff>
                <xdr:row>58</xdr:row>
                <xdr:rowOff>50800</xdr:rowOff>
              </to>
            </anchor>
          </objectPr>
        </oleObject>
      </mc:Choice>
      <mc:Fallback>
        <oleObject progId="Visio.Drawing.11" shapeId="562184" r:id="rId16"/>
      </mc:Fallback>
    </mc:AlternateContent>
    <mc:AlternateContent xmlns:mc="http://schemas.openxmlformats.org/markup-compatibility/2006">
      <mc:Choice Requires="x14">
        <oleObject progId="Visio.Drawing.11" shapeId="562185" r:id="rId18">
          <objectPr defaultSize="0" autoPict="0" r:id="rId19">
            <anchor moveWithCells="1">
              <from>
                <xdr:col>10</xdr:col>
                <xdr:colOff>184150</xdr:colOff>
                <xdr:row>22</xdr:row>
                <xdr:rowOff>177800</xdr:rowOff>
              </from>
              <to>
                <xdr:col>12</xdr:col>
                <xdr:colOff>431800</xdr:colOff>
                <xdr:row>24</xdr:row>
                <xdr:rowOff>69850</xdr:rowOff>
              </to>
            </anchor>
          </objectPr>
        </oleObject>
      </mc:Choice>
      <mc:Fallback>
        <oleObject progId="Visio.Drawing.11" shapeId="562185" r:id="rId18"/>
      </mc:Fallback>
    </mc:AlternateContent>
    <mc:AlternateContent xmlns:mc="http://schemas.openxmlformats.org/markup-compatibility/2006">
      <mc:Choice Requires="x14">
        <oleObject progId="Visio.Drawing.11" shapeId="562186" r:id="rId20">
          <objectPr defaultSize="0" autoPict="0" r:id="rId21">
            <anchor moveWithCells="1">
              <from>
                <xdr:col>10</xdr:col>
                <xdr:colOff>215900</xdr:colOff>
                <xdr:row>25</xdr:row>
                <xdr:rowOff>6350</xdr:rowOff>
              </from>
              <to>
                <xdr:col>12</xdr:col>
                <xdr:colOff>450850</xdr:colOff>
                <xdr:row>26</xdr:row>
                <xdr:rowOff>31750</xdr:rowOff>
              </to>
            </anchor>
          </objectPr>
        </oleObject>
      </mc:Choice>
      <mc:Fallback>
        <oleObject progId="Visio.Drawing.11" shapeId="562186" r:id="rId20"/>
      </mc:Fallback>
    </mc:AlternateContent>
    <mc:AlternateContent xmlns:mc="http://schemas.openxmlformats.org/markup-compatibility/2006">
      <mc:Choice Requires="x14">
        <oleObject progId="Visio.Drawing.11" shapeId="562187" r:id="rId22">
          <objectPr defaultSize="0" autoPict="0" r:id="rId12">
            <anchor moveWithCells="1">
              <from>
                <xdr:col>10</xdr:col>
                <xdr:colOff>165100</xdr:colOff>
                <xdr:row>20</xdr:row>
                <xdr:rowOff>146050</xdr:rowOff>
              </from>
              <to>
                <xdr:col>12</xdr:col>
                <xdr:colOff>431800</xdr:colOff>
                <xdr:row>22</xdr:row>
                <xdr:rowOff>114300</xdr:rowOff>
              </to>
            </anchor>
          </objectPr>
        </oleObject>
      </mc:Choice>
      <mc:Fallback>
        <oleObject progId="Visio.Drawing.11" shapeId="562187" r:id="rId22"/>
      </mc:Fallback>
    </mc:AlternateContent>
    <mc:AlternateContent xmlns:mc="http://schemas.openxmlformats.org/markup-compatibility/2006">
      <mc:Choice Requires="x14">
        <oleObject progId="Visio.Drawing.11" shapeId="562188" r:id="rId23">
          <objectPr defaultSize="0" autoPict="0" r:id="rId10">
            <anchor moveWithCells="1">
              <from>
                <xdr:col>12</xdr:col>
                <xdr:colOff>469900</xdr:colOff>
                <xdr:row>44</xdr:row>
                <xdr:rowOff>152400</xdr:rowOff>
              </from>
              <to>
                <xdr:col>14</xdr:col>
                <xdr:colOff>520700</xdr:colOff>
                <xdr:row>53</xdr:row>
                <xdr:rowOff>50800</xdr:rowOff>
              </to>
            </anchor>
          </objectPr>
        </oleObject>
      </mc:Choice>
      <mc:Fallback>
        <oleObject progId="Visio.Drawing.11" shapeId="562188" r:id="rId23"/>
      </mc:Fallback>
    </mc:AlternateContent>
    <mc:AlternateContent xmlns:mc="http://schemas.openxmlformats.org/markup-compatibility/2006">
      <mc:Choice Requires="x14">
        <oleObject progId="Visio.Drawing.11" shapeId="562189" r:id="rId24">
          <objectPr defaultSize="0" autoPict="0" r:id="rId12">
            <anchor moveWithCells="1">
              <from>
                <xdr:col>17</xdr:col>
                <xdr:colOff>622300</xdr:colOff>
                <xdr:row>54</xdr:row>
                <xdr:rowOff>12700</xdr:rowOff>
              </from>
              <to>
                <xdr:col>20</xdr:col>
                <xdr:colOff>241300</xdr:colOff>
                <xdr:row>56</xdr:row>
                <xdr:rowOff>88900</xdr:rowOff>
              </to>
            </anchor>
          </objectPr>
        </oleObject>
      </mc:Choice>
      <mc:Fallback>
        <oleObject progId="Visio.Drawing.11" shapeId="562189" r:id="rId2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/>
  <dimension ref="A1:M33"/>
  <sheetViews>
    <sheetView topLeftCell="A8" workbookViewId="0">
      <selection activeCell="A18" sqref="A18:C33"/>
    </sheetView>
  </sheetViews>
  <sheetFormatPr defaultColWidth="8.8984375" defaultRowHeight="13"/>
  <cols>
    <col min="1" max="6" width="12.69921875" style="1" customWidth="1"/>
    <col min="7" max="7" width="8.8984375" style="1"/>
    <col min="8" max="13" width="12.69921875" style="1" customWidth="1"/>
    <col min="14" max="16384" width="8.8984375" style="1"/>
  </cols>
  <sheetData>
    <row r="1" spans="1:13" ht="25.15" customHeight="1">
      <c r="A1" s="1720" t="s">
        <v>705</v>
      </c>
      <c r="B1" s="1720"/>
      <c r="C1" s="1720"/>
      <c r="D1" s="1720"/>
      <c r="E1" s="1720"/>
      <c r="F1" s="1720"/>
      <c r="H1" s="1720" t="s">
        <v>714</v>
      </c>
      <c r="I1" s="1720"/>
      <c r="J1" s="1720"/>
      <c r="K1" s="1720"/>
      <c r="L1" s="1720"/>
      <c r="M1" s="1720"/>
    </row>
    <row r="2" spans="1:13" ht="19.899999999999999" customHeight="1">
      <c r="A2" s="674" t="s">
        <v>137</v>
      </c>
      <c r="B2" s="674" t="s">
        <v>686</v>
      </c>
      <c r="C2" s="674" t="s">
        <v>685</v>
      </c>
      <c r="D2" s="674" t="s">
        <v>689</v>
      </c>
      <c r="E2" s="674" t="s">
        <v>688</v>
      </c>
      <c r="F2" s="674" t="s">
        <v>687</v>
      </c>
      <c r="H2" s="245" t="s">
        <v>137</v>
      </c>
      <c r="I2" s="245" t="s">
        <v>685</v>
      </c>
      <c r="J2" s="245" t="s">
        <v>706</v>
      </c>
      <c r="K2" s="245" t="s">
        <v>707</v>
      </c>
      <c r="L2" s="245" t="s">
        <v>708</v>
      </c>
      <c r="M2" s="245" t="s">
        <v>709</v>
      </c>
    </row>
    <row r="3" spans="1:13" ht="19.899999999999999" customHeight="1">
      <c r="A3" s="675">
        <v>1</v>
      </c>
      <c r="B3" s="675" t="s">
        <v>5</v>
      </c>
      <c r="C3" s="675" t="s">
        <v>660</v>
      </c>
      <c r="D3" s="675">
        <v>8.5</v>
      </c>
      <c r="E3" s="675">
        <v>0.75</v>
      </c>
      <c r="F3" s="675">
        <v>24000</v>
      </c>
      <c r="H3" s="245">
        <v>1</v>
      </c>
      <c r="I3" s="245" t="s">
        <v>710</v>
      </c>
      <c r="J3" s="245">
        <v>210</v>
      </c>
      <c r="K3" s="245">
        <v>210</v>
      </c>
      <c r="L3" s="245">
        <v>170</v>
      </c>
      <c r="M3" s="245">
        <v>200000</v>
      </c>
    </row>
    <row r="4" spans="1:13" ht="19.899999999999999" customHeight="1">
      <c r="A4" s="675">
        <v>2</v>
      </c>
      <c r="B4" s="675" t="s">
        <v>479</v>
      </c>
      <c r="C4" s="675" t="s">
        <v>630</v>
      </c>
      <c r="D4" s="675">
        <v>11.5</v>
      </c>
      <c r="E4" s="675">
        <v>0.9</v>
      </c>
      <c r="F4" s="675">
        <v>27500</v>
      </c>
      <c r="H4" s="245">
        <v>2</v>
      </c>
      <c r="I4" s="245" t="s">
        <v>711</v>
      </c>
      <c r="J4" s="245">
        <v>260</v>
      </c>
      <c r="K4" s="245">
        <v>260</v>
      </c>
      <c r="L4" s="245">
        <v>210</v>
      </c>
      <c r="M4" s="245">
        <v>200000</v>
      </c>
    </row>
    <row r="5" spans="1:13" ht="19.899999999999999" customHeight="1">
      <c r="A5" s="675">
        <v>3</v>
      </c>
      <c r="B5" s="675" t="s">
        <v>691</v>
      </c>
      <c r="C5" s="675" t="s">
        <v>690</v>
      </c>
      <c r="D5" s="675">
        <v>13</v>
      </c>
      <c r="E5" s="675">
        <v>1</v>
      </c>
      <c r="F5" s="675">
        <v>28750</v>
      </c>
      <c r="H5" s="245">
        <v>3</v>
      </c>
      <c r="I5" s="245" t="s">
        <v>712</v>
      </c>
      <c r="J5" s="245">
        <v>350</v>
      </c>
      <c r="K5" s="245">
        <v>350</v>
      </c>
      <c r="L5" s="245">
        <v>280</v>
      </c>
      <c r="M5" s="245">
        <v>200000</v>
      </c>
    </row>
    <row r="6" spans="1:13" ht="19.899999999999999" customHeight="1">
      <c r="A6" s="675">
        <v>4</v>
      </c>
      <c r="B6" s="675" t="s">
        <v>692</v>
      </c>
      <c r="C6" s="675" t="s">
        <v>661</v>
      </c>
      <c r="D6" s="675">
        <v>14.5</v>
      </c>
      <c r="E6" s="675">
        <v>1.05</v>
      </c>
      <c r="F6" s="675">
        <v>30000</v>
      </c>
      <c r="H6" s="245">
        <v>4</v>
      </c>
      <c r="I6" s="245" t="s">
        <v>713</v>
      </c>
      <c r="J6" s="245">
        <v>435</v>
      </c>
      <c r="K6" s="245">
        <v>400</v>
      </c>
      <c r="L6" s="245">
        <v>300</v>
      </c>
      <c r="M6" s="245">
        <v>200000</v>
      </c>
    </row>
    <row r="7" spans="1:13" ht="19.899999999999999" customHeight="1">
      <c r="A7" s="675">
        <v>5</v>
      </c>
      <c r="B7" s="675" t="s">
        <v>693</v>
      </c>
      <c r="C7" s="675" t="s">
        <v>662</v>
      </c>
      <c r="D7" s="675">
        <v>17</v>
      </c>
      <c r="E7" s="675">
        <v>1.1499999999999999</v>
      </c>
      <c r="F7" s="675">
        <v>32500</v>
      </c>
    </row>
    <row r="8" spans="1:13" ht="19.899999999999999" customHeight="1">
      <c r="A8" s="675">
        <v>6</v>
      </c>
      <c r="B8" s="675" t="s">
        <v>694</v>
      </c>
      <c r="C8" s="675" t="s">
        <v>663</v>
      </c>
      <c r="D8" s="675">
        <v>19.5</v>
      </c>
      <c r="E8" s="675">
        <v>1.3</v>
      </c>
      <c r="F8" s="675">
        <v>34500</v>
      </c>
    </row>
    <row r="9" spans="1:13" ht="19.899999999999999" customHeight="1">
      <c r="A9" s="675">
        <v>7</v>
      </c>
      <c r="B9" s="675" t="s">
        <v>695</v>
      </c>
      <c r="C9" s="675" t="s">
        <v>664</v>
      </c>
      <c r="D9" s="675">
        <v>22</v>
      </c>
      <c r="E9" s="675">
        <v>1.4</v>
      </c>
      <c r="F9" s="675">
        <v>36000</v>
      </c>
    </row>
    <row r="10" spans="1:13" ht="19.899999999999999" customHeight="1">
      <c r="A10" s="675">
        <v>8</v>
      </c>
      <c r="B10" s="675" t="s">
        <v>697</v>
      </c>
      <c r="C10" s="675" t="s">
        <v>696</v>
      </c>
      <c r="D10" s="675">
        <v>25</v>
      </c>
      <c r="E10" s="675">
        <v>1.5</v>
      </c>
      <c r="F10" s="675">
        <v>37000</v>
      </c>
      <c r="H10" s="675" t="s">
        <v>479</v>
      </c>
      <c r="I10" s="1" t="str">
        <f>VLOOKUP(H10,B3:C13,2,0)</f>
        <v>B20</v>
      </c>
    </row>
    <row r="11" spans="1:13" ht="19.899999999999999" customHeight="1">
      <c r="A11" s="675">
        <v>9</v>
      </c>
      <c r="B11" s="675" t="s">
        <v>699</v>
      </c>
      <c r="C11" s="675" t="s">
        <v>698</v>
      </c>
      <c r="D11" s="675">
        <v>27.5</v>
      </c>
      <c r="E11" s="675">
        <v>1.6</v>
      </c>
      <c r="F11" s="675">
        <v>38000</v>
      </c>
    </row>
    <row r="12" spans="1:13" ht="19.899999999999999" customHeight="1">
      <c r="A12" s="675">
        <v>10</v>
      </c>
      <c r="B12" s="675" t="s">
        <v>699</v>
      </c>
      <c r="C12" s="675" t="s">
        <v>700</v>
      </c>
      <c r="D12" s="675">
        <v>30</v>
      </c>
      <c r="E12" s="675">
        <v>1.7</v>
      </c>
      <c r="F12" s="675">
        <v>39000</v>
      </c>
    </row>
    <row r="13" spans="1:13" ht="19.899999999999999" customHeight="1">
      <c r="A13" s="675">
        <v>11</v>
      </c>
      <c r="B13" s="675" t="s">
        <v>702</v>
      </c>
      <c r="C13" s="675" t="s">
        <v>701</v>
      </c>
      <c r="D13" s="675">
        <v>33</v>
      </c>
      <c r="E13" s="675">
        <v>1.8</v>
      </c>
      <c r="F13" s="675">
        <v>39500</v>
      </c>
    </row>
    <row r="14" spans="1:13">
      <c r="A14" s="676"/>
      <c r="B14" s="677" t="s">
        <v>703</v>
      </c>
    </row>
    <row r="16" spans="1:13" ht="13.5" thickBot="1"/>
    <row r="17" spans="1:3" ht="16" thickBot="1">
      <c r="A17" s="1196" t="s">
        <v>930</v>
      </c>
      <c r="B17" s="1197" t="s">
        <v>931</v>
      </c>
      <c r="C17" s="1198" t="s">
        <v>932</v>
      </c>
    </row>
    <row r="18" spans="1:3">
      <c r="A18" s="1199">
        <v>6</v>
      </c>
      <c r="B18" s="1200">
        <v>0.28299999999999997</v>
      </c>
      <c r="C18" s="1201">
        <v>0.222</v>
      </c>
    </row>
    <row r="19" spans="1:3">
      <c r="A19" s="1202">
        <v>8</v>
      </c>
      <c r="B19" s="1203">
        <v>0.503</v>
      </c>
      <c r="C19" s="1204">
        <v>0.39500000000000002</v>
      </c>
    </row>
    <row r="20" spans="1:3">
      <c r="A20" s="1202">
        <v>10</v>
      </c>
      <c r="B20" s="1203">
        <v>0.78500000000000003</v>
      </c>
      <c r="C20" s="1204">
        <v>0.71699999999999997</v>
      </c>
    </row>
    <row r="21" spans="1:3">
      <c r="A21" s="1202">
        <v>12</v>
      </c>
      <c r="B21" s="1203">
        <v>1.1299999999999999</v>
      </c>
      <c r="C21" s="1204">
        <v>0.88800000000000001</v>
      </c>
    </row>
    <row r="22" spans="1:3">
      <c r="A22" s="1202">
        <v>14</v>
      </c>
      <c r="B22" s="1203">
        <v>1.54</v>
      </c>
      <c r="C22" s="1204">
        <v>1.21</v>
      </c>
    </row>
    <row r="23" spans="1:3">
      <c r="A23" s="1202">
        <v>16</v>
      </c>
      <c r="B23" s="1203">
        <v>2.0099999999999998</v>
      </c>
      <c r="C23" s="1204">
        <v>1.58</v>
      </c>
    </row>
    <row r="24" spans="1:3">
      <c r="A24" s="1202">
        <v>18</v>
      </c>
      <c r="B24" s="1203">
        <v>2.5499999999999998</v>
      </c>
      <c r="C24" s="1204">
        <v>2</v>
      </c>
    </row>
    <row r="25" spans="1:3">
      <c r="A25" s="1202">
        <v>20</v>
      </c>
      <c r="B25" s="1203">
        <v>3.14</v>
      </c>
      <c r="C25" s="1204">
        <v>2.4700000000000002</v>
      </c>
    </row>
    <row r="26" spans="1:3">
      <c r="A26" s="1202">
        <v>22</v>
      </c>
      <c r="B26" s="1203">
        <v>3.8</v>
      </c>
      <c r="C26" s="1204">
        <v>2.98</v>
      </c>
    </row>
    <row r="27" spans="1:3">
      <c r="A27" s="1202">
        <v>25</v>
      </c>
      <c r="B27" s="1203">
        <v>4.91</v>
      </c>
      <c r="C27" s="1204">
        <v>3.85</v>
      </c>
    </row>
    <row r="28" spans="1:3">
      <c r="A28" s="1202">
        <v>28</v>
      </c>
      <c r="B28" s="1203">
        <v>6.16</v>
      </c>
      <c r="C28" s="1204">
        <v>4.83</v>
      </c>
    </row>
    <row r="29" spans="1:3">
      <c r="A29" s="1202">
        <v>30</v>
      </c>
      <c r="B29" s="1203">
        <v>7.069</v>
      </c>
      <c r="C29" s="1204">
        <v>5.5490000000000004</v>
      </c>
    </row>
    <row r="30" spans="1:3">
      <c r="A30" s="1202">
        <v>32</v>
      </c>
      <c r="B30" s="1203">
        <v>8.0399999999999991</v>
      </c>
      <c r="C30" s="1204">
        <v>6.31</v>
      </c>
    </row>
    <row r="31" spans="1:3">
      <c r="A31" s="1202">
        <v>34</v>
      </c>
      <c r="B31" s="1203">
        <v>9.0790000000000006</v>
      </c>
      <c r="C31" s="1204">
        <v>7.1269999999999998</v>
      </c>
    </row>
    <row r="32" spans="1:3">
      <c r="A32" s="1202">
        <v>36</v>
      </c>
      <c r="B32" s="1203">
        <v>10.18</v>
      </c>
      <c r="C32" s="1204">
        <v>7.99</v>
      </c>
    </row>
    <row r="33" spans="1:3" ht="13.5" thickBot="1">
      <c r="A33" s="1205">
        <v>40</v>
      </c>
      <c r="B33" s="1206">
        <v>12.57</v>
      </c>
      <c r="C33" s="1207">
        <v>9.86</v>
      </c>
    </row>
  </sheetData>
  <mergeCells count="2">
    <mergeCell ref="A1:F1"/>
    <mergeCell ref="H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Tra</vt:lpstr>
      <vt:lpstr>TRANG BIA</vt:lpstr>
      <vt:lpstr>TBA-1</vt:lpstr>
      <vt:lpstr>N411-20</vt:lpstr>
      <vt:lpstr>ChiTiet</vt:lpstr>
      <vt:lpstr>TONG HOP</vt:lpstr>
      <vt:lpstr>KL</vt:lpstr>
      <vt:lpstr>Bảng tra</vt:lpstr>
      <vt:lpstr>CT</vt:lpstr>
      <vt:lpstr>'N411-20'!Print_Area</vt:lpstr>
      <vt:lpstr>'TBA-1'!Print_Area</vt:lpstr>
      <vt:lpstr>'TONG HOP'!Print_Area</vt:lpstr>
      <vt:lpstr>'TRANG BIA'!Print_Area</vt:lpstr>
    </vt:vector>
  </TitlesOfParts>
  <Company>TVXDD2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hieutm-p20</dc:creator>
  <cp:lastModifiedBy>Cong Bang Nguyen</cp:lastModifiedBy>
  <cp:lastPrinted>2026-03-02T20:49:37Z</cp:lastPrinted>
  <dcterms:created xsi:type="dcterms:W3CDTF">2001-06-01T08:25:32Z</dcterms:created>
  <dcterms:modified xsi:type="dcterms:W3CDTF">2026-10-23T04:50:06Z</dcterms:modified>
</cp:coreProperties>
</file>